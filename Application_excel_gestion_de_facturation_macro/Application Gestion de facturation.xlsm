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amil\Desktop\Projetperso\Application_excel_gestion_de_facturation\"/>
    </mc:Choice>
  </mc:AlternateContent>
  <xr:revisionPtr revIDLastSave="0" documentId="13_ncr:1_{1A193822-4E9D-4089-96B3-361E085B60C9}" xr6:coauthVersionLast="45" xr6:coauthVersionMax="46" xr10:uidLastSave="{00000000-0000-0000-0000-000000000000}"/>
  <bookViews>
    <workbookView xWindow="-120" yWindow="-120" windowWidth="29040" windowHeight="15840" activeTab="2" xr2:uid="{00000000-000D-0000-FFFF-FFFF00000000}"/>
  </bookViews>
  <sheets>
    <sheet name="Parameters" sheetId="3" r:id="rId1"/>
    <sheet name="Devis" sheetId="1" r:id="rId2"/>
    <sheet name="Commande" sheetId="7" r:id="rId3"/>
    <sheet name="Livraison" sheetId="5" r:id="rId4"/>
    <sheet name="Facture" sheetId="4" r:id="rId5"/>
    <sheet name="Liste Factures" sheetId="8" r:id="rId6"/>
  </sheets>
  <definedNames>
    <definedName name="_xlnm.Print_Area" localSheetId="2">Commande!$C$6:$M$54</definedName>
    <definedName name="_xlnm.Print_Area" localSheetId="1">Devis!$C$6:$M$54</definedName>
    <definedName name="_xlnm.Print_Area" localSheetId="4">Facture!$C$8:$M$56</definedName>
    <definedName name="_xlnm.Print_Area" localSheetId="3">Livraison!$C$6:$M$54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4" l="1"/>
  <c r="E54" i="4" l="1"/>
  <c r="H49" i="4"/>
  <c r="H48" i="4"/>
  <c r="H47" i="4"/>
  <c r="I34" i="4"/>
  <c r="L34" i="4" s="1"/>
  <c r="E34" i="4"/>
  <c r="I33" i="4"/>
  <c r="L33" i="4" s="1"/>
  <c r="E33" i="4"/>
  <c r="I32" i="4"/>
  <c r="L32" i="4" s="1"/>
  <c r="E32" i="4"/>
  <c r="I31" i="4"/>
  <c r="L31" i="4" s="1"/>
  <c r="E31" i="4"/>
  <c r="I30" i="4"/>
  <c r="L30" i="4" s="1"/>
  <c r="E30" i="4"/>
  <c r="I29" i="4"/>
  <c r="L29" i="4" s="1"/>
  <c r="E29" i="4"/>
  <c r="I28" i="4"/>
  <c r="L28" i="4" s="1"/>
  <c r="E28" i="4"/>
  <c r="I27" i="4"/>
  <c r="L27" i="4" s="1"/>
  <c r="E27" i="4"/>
  <c r="I26" i="4"/>
  <c r="L26" i="4" s="1"/>
  <c r="E26" i="4"/>
  <c r="I25" i="4"/>
  <c r="L25" i="4" s="1"/>
  <c r="E25" i="4"/>
  <c r="I24" i="4"/>
  <c r="L24" i="4" s="1"/>
  <c r="E24" i="4"/>
  <c r="I23" i="4"/>
  <c r="L23" i="4" s="1"/>
  <c r="E23" i="4"/>
  <c r="I22" i="4"/>
  <c r="L22" i="4" s="1"/>
  <c r="E22" i="4"/>
  <c r="I17" i="4"/>
  <c r="E17" i="4"/>
  <c r="I16" i="4"/>
  <c r="E16" i="4"/>
  <c r="E15" i="4"/>
  <c r="J10" i="4"/>
  <c r="E52" i="5"/>
  <c r="H47" i="5"/>
  <c r="H46" i="5"/>
  <c r="H45" i="5"/>
  <c r="I32" i="5"/>
  <c r="L32" i="5" s="1"/>
  <c r="E32" i="5"/>
  <c r="I31" i="5"/>
  <c r="L31" i="5" s="1"/>
  <c r="E31" i="5"/>
  <c r="I30" i="5"/>
  <c r="L30" i="5" s="1"/>
  <c r="E30" i="5"/>
  <c r="I29" i="5"/>
  <c r="L29" i="5" s="1"/>
  <c r="E29" i="5"/>
  <c r="I28" i="5"/>
  <c r="L28" i="5" s="1"/>
  <c r="E28" i="5"/>
  <c r="I27" i="5"/>
  <c r="L27" i="5" s="1"/>
  <c r="E27" i="5"/>
  <c r="I26" i="5"/>
  <c r="L26" i="5" s="1"/>
  <c r="E26" i="5"/>
  <c r="I25" i="5"/>
  <c r="L25" i="5" s="1"/>
  <c r="E25" i="5"/>
  <c r="I24" i="5"/>
  <c r="L24" i="5" s="1"/>
  <c r="E24" i="5"/>
  <c r="I23" i="5"/>
  <c r="L23" i="5" s="1"/>
  <c r="E23" i="5"/>
  <c r="I22" i="5"/>
  <c r="L22" i="5" s="1"/>
  <c r="E22" i="5"/>
  <c r="I21" i="5"/>
  <c r="L21" i="5" s="1"/>
  <c r="E21" i="5"/>
  <c r="I20" i="5"/>
  <c r="L20" i="5" s="1"/>
  <c r="E20" i="5"/>
  <c r="I15" i="5"/>
  <c r="E15" i="5"/>
  <c r="I14" i="5"/>
  <c r="E14" i="5"/>
  <c r="E13" i="5"/>
  <c r="J8" i="5"/>
  <c r="E2" i="5"/>
  <c r="E52" i="7"/>
  <c r="H47" i="7"/>
  <c r="H46" i="7"/>
  <c r="H45" i="7"/>
  <c r="I32" i="7"/>
  <c r="L32" i="7" s="1"/>
  <c r="E32" i="7"/>
  <c r="I31" i="7"/>
  <c r="L31" i="7" s="1"/>
  <c r="E31" i="7"/>
  <c r="I30" i="7"/>
  <c r="L30" i="7" s="1"/>
  <c r="E30" i="7"/>
  <c r="I29" i="7"/>
  <c r="L29" i="7" s="1"/>
  <c r="E29" i="7"/>
  <c r="I28" i="7"/>
  <c r="L28" i="7" s="1"/>
  <c r="E28" i="7"/>
  <c r="I27" i="7"/>
  <c r="L27" i="7" s="1"/>
  <c r="E27" i="7"/>
  <c r="I26" i="7"/>
  <c r="L26" i="7" s="1"/>
  <c r="E26" i="7"/>
  <c r="I25" i="7"/>
  <c r="L25" i="7" s="1"/>
  <c r="E25" i="7"/>
  <c r="I24" i="7"/>
  <c r="L24" i="7" s="1"/>
  <c r="E24" i="7"/>
  <c r="I23" i="7"/>
  <c r="L23" i="7" s="1"/>
  <c r="E23" i="7"/>
  <c r="I22" i="7"/>
  <c r="L22" i="7" s="1"/>
  <c r="E22" i="7"/>
  <c r="I21" i="7"/>
  <c r="L21" i="7" s="1"/>
  <c r="E21" i="7"/>
  <c r="I20" i="7"/>
  <c r="L20" i="7" s="1"/>
  <c r="E20" i="7"/>
  <c r="I15" i="7"/>
  <c r="E15" i="7"/>
  <c r="I14" i="7"/>
  <c r="E14" i="7"/>
  <c r="E13" i="7"/>
  <c r="J8" i="7"/>
  <c r="E2" i="7"/>
  <c r="I20" i="1"/>
  <c r="L20" i="1" s="1"/>
  <c r="I21" i="1"/>
  <c r="L21" i="1" s="1"/>
  <c r="E13" i="1"/>
  <c r="H46" i="1"/>
  <c r="H47" i="1"/>
  <c r="H45" i="1"/>
  <c r="E52" i="1"/>
  <c r="I15" i="1"/>
  <c r="I14" i="1"/>
  <c r="I22" i="1"/>
  <c r="L22" i="1" s="1"/>
  <c r="I23" i="1"/>
  <c r="L23" i="1" s="1"/>
  <c r="I24" i="1"/>
  <c r="L24" i="1" s="1"/>
  <c r="I25" i="1"/>
  <c r="L25" i="1" s="1"/>
  <c r="I26" i="1"/>
  <c r="L26" i="1" s="1"/>
  <c r="I27" i="1"/>
  <c r="L27" i="1" s="1"/>
  <c r="I28" i="1"/>
  <c r="L28" i="1" s="1"/>
  <c r="I29" i="1"/>
  <c r="L29" i="1" s="1"/>
  <c r="I30" i="1"/>
  <c r="L30" i="1" s="1"/>
  <c r="I31" i="1"/>
  <c r="L31" i="1" s="1"/>
  <c r="I32" i="1"/>
  <c r="L32" i="1" s="1"/>
  <c r="E21" i="1"/>
  <c r="E22" i="1"/>
  <c r="E23" i="1"/>
  <c r="E24" i="1"/>
  <c r="E25" i="1"/>
  <c r="E26" i="1"/>
  <c r="E27" i="1"/>
  <c r="E28" i="1"/>
  <c r="E29" i="1"/>
  <c r="E30" i="1"/>
  <c r="E31" i="1"/>
  <c r="E32" i="1"/>
  <c r="E20" i="1"/>
  <c r="E14" i="1"/>
  <c r="E15" i="1"/>
  <c r="J8" i="1"/>
  <c r="E2" i="1"/>
  <c r="L36" i="4" l="1"/>
  <c r="L34" i="5"/>
  <c r="L34" i="7"/>
  <c r="L34" i="1"/>
  <c r="L35" i="1" s="1"/>
  <c r="L36" i="1" s="1"/>
  <c r="L37" i="4" l="1"/>
  <c r="L38" i="4" s="1"/>
  <c r="L35" i="5"/>
  <c r="L36" i="5" s="1"/>
  <c r="L35" i="7"/>
  <c r="L36" i="7" s="1"/>
</calcChain>
</file>

<file path=xl/sharedStrings.xml><?xml version="1.0" encoding="utf-8"?>
<sst xmlns="http://schemas.openxmlformats.org/spreadsheetml/2006/main" count="223" uniqueCount="152">
  <si>
    <t xml:space="preserve">Mathieu Bernard </t>
  </si>
  <si>
    <t>PRIX</t>
  </si>
  <si>
    <t>DÉSIGNATION</t>
  </si>
  <si>
    <t>RÉFÉRENCE</t>
  </si>
  <si>
    <t xml:space="preserve">41, rue Desaix 75012 Paris </t>
  </si>
  <si>
    <t>Veuillez saisir les informations des produits</t>
  </si>
  <si>
    <t>Veuillez saisir les informations de l'entreprise</t>
  </si>
  <si>
    <t>Veuillez saisir les informations des clients</t>
  </si>
  <si>
    <t xml:space="preserve">Site </t>
  </si>
  <si>
    <t xml:space="preserve">Email </t>
  </si>
  <si>
    <t xml:space="preserve">Télé </t>
  </si>
  <si>
    <t xml:space="preserve">Adresse </t>
  </si>
  <si>
    <t xml:space="preserve">Nom </t>
  </si>
  <si>
    <t xml:space="preserve">Devis </t>
  </si>
  <si>
    <t xml:space="preserve">Bon commande </t>
  </si>
  <si>
    <t xml:space="preserve">Bon livraision </t>
  </si>
  <si>
    <t xml:space="preserve">Facture </t>
  </si>
  <si>
    <t>NOM</t>
  </si>
  <si>
    <t>ADRESSE</t>
  </si>
  <si>
    <t>TELEPHONE</t>
  </si>
  <si>
    <t>Iphone 13 Pro</t>
  </si>
  <si>
    <t>S1</t>
  </si>
  <si>
    <t>SAMSUNG GALAXY S22</t>
  </si>
  <si>
    <t>S2</t>
  </si>
  <si>
    <t>S3</t>
  </si>
  <si>
    <t>XIAOMI 12</t>
  </si>
  <si>
    <t>Drone DJI Mini 3 Pro</t>
  </si>
  <si>
    <t>Canon EOS R7</t>
  </si>
  <si>
    <t>Canon EOS R8</t>
  </si>
  <si>
    <t>F1</t>
  </si>
  <si>
    <t>F2</t>
  </si>
  <si>
    <t>F3</t>
  </si>
  <si>
    <t>Nintendo Switch</t>
  </si>
  <si>
    <t>Console Sony PS5 </t>
  </si>
  <si>
    <t>Oculus Quest 2</t>
  </si>
  <si>
    <t>Xbox Series X</t>
  </si>
  <si>
    <t>C1</t>
  </si>
  <si>
    <t>C2</t>
  </si>
  <si>
    <t>C3</t>
  </si>
  <si>
    <t>C4</t>
  </si>
  <si>
    <t>C5</t>
  </si>
  <si>
    <t>Samsung Galaxy Tab S8</t>
  </si>
  <si>
    <t>iPad Air 10,9</t>
  </si>
  <si>
    <t>Huawei MatePad 11</t>
  </si>
  <si>
    <t>Apple AirPods 2 </t>
  </si>
  <si>
    <t>T1</t>
  </si>
  <si>
    <t>T2</t>
  </si>
  <si>
    <t>T3</t>
  </si>
  <si>
    <t>E1</t>
  </si>
  <si>
    <t>Jabra Elite Active </t>
  </si>
  <si>
    <t>E2</t>
  </si>
  <si>
    <t>E3</t>
  </si>
  <si>
    <t>Sony WH1000XM4</t>
  </si>
  <si>
    <t xml:space="preserve">AirPods Max </t>
  </si>
  <si>
    <t>Apple Watch Series 7</t>
  </si>
  <si>
    <t>W1</t>
  </si>
  <si>
    <t>W2</t>
  </si>
  <si>
    <t>W3</t>
  </si>
  <si>
    <t>Gracia Cestin</t>
  </si>
  <si>
    <t>Emmanuel Edgardo</t>
  </si>
  <si>
    <t>Louinord Joseph</t>
  </si>
  <si>
    <t>Pauline Lamothe</t>
  </si>
  <si>
    <t>Olivier Jean-Louis</t>
  </si>
  <si>
    <t>Eddy Luckecy</t>
  </si>
  <si>
    <t>Guillaum Thimothe</t>
  </si>
  <si>
    <t>Anne Marie Marquant</t>
  </si>
  <si>
    <t>Fedline Joseph</t>
  </si>
  <si>
    <t>Roland Dely</t>
  </si>
  <si>
    <t>Senophat Benjamin</t>
  </si>
  <si>
    <t>Magalie Harold</t>
  </si>
  <si>
    <t>Laurianne Fleur</t>
  </si>
  <si>
    <t>Dieuper Boudam</t>
  </si>
  <si>
    <t>Andreas Pierre</t>
  </si>
  <si>
    <t>Mathias Mueller</t>
  </si>
  <si>
    <t>Daniel Alexandre</t>
  </si>
  <si>
    <t>Raymond Dupiton</t>
  </si>
  <si>
    <t>Jean Jacques</t>
  </si>
  <si>
    <t>Monique Pierre</t>
  </si>
  <si>
    <t>Gérard Monrosty</t>
  </si>
  <si>
    <t>Richard Risler</t>
  </si>
  <si>
    <t>10, rue Cambacérès 75008 Paris</t>
  </si>
  <si>
    <t>01 42 66 68 49</t>
  </si>
  <si>
    <t>04 77 81 15 15</t>
  </si>
  <si>
    <t>BP 65054 31033 Toulouse</t>
  </si>
  <si>
    <t>01 58 22 17 10</t>
  </si>
  <si>
    <t>3-5 av. Esquirol 69003 Lyon</t>
  </si>
  <si>
    <t>04 72 11 29 99</t>
  </si>
  <si>
    <t>14, av. Duquesne 75350 Paris</t>
  </si>
  <si>
    <t>01 56 53 51 05</t>
  </si>
  <si>
    <t>88 av. Verdier 92120 Montrouge</t>
  </si>
  <si>
    <t>01 41 17 67 18</t>
  </si>
  <si>
    <t>04 77 49 42 42</t>
  </si>
  <si>
    <t>4, av. Duquesne 75350 Paris</t>
  </si>
  <si>
    <t>01 49 23 82 52</t>
  </si>
  <si>
    <t>290 route de Vienne 69355 Lyon</t>
  </si>
  <si>
    <t>04 37 90 13 07</t>
  </si>
  <si>
    <t>47 rue des Alliés 2030 St Etienne</t>
  </si>
  <si>
    <t>47 rue des Alliés 430 St Etienne</t>
  </si>
  <si>
    <t>12, villa Compoint 75017 Paris</t>
  </si>
  <si>
    <t>01 53 06 30 43</t>
  </si>
  <si>
    <t xml:space="preserve">Marshall Major IV </t>
  </si>
  <si>
    <t>Huawei Watch GT2</t>
  </si>
  <si>
    <t>Sony True Wireless</t>
  </si>
  <si>
    <t>Xbox One 500</t>
  </si>
  <si>
    <t>Emmanuel Collin</t>
  </si>
  <si>
    <t>Galaxy Watch4</t>
  </si>
  <si>
    <t>C:\Users\Camil\Desktop\Projetperso\Excel\Documents\Commande</t>
  </si>
  <si>
    <t>C:\Users\Camil\Desktop\Projetperso\Excel\Documents\Devis</t>
  </si>
  <si>
    <t>C:\Users\Camil\Desktop\Projetperso\Excel\Documents\Facture</t>
  </si>
  <si>
    <t>C:\Users\Camil\Desktop\Projetperso\Excel\Documents\Livraison</t>
  </si>
  <si>
    <t>TechnoMax</t>
  </si>
  <si>
    <t>technomax@gmail.com</t>
  </si>
  <si>
    <t>5001 av. Henry-Pasta 33200 Bordeaux</t>
  </si>
  <si>
    <t>05 57 59 43 11</t>
  </si>
  <si>
    <t>DATE :</t>
  </si>
  <si>
    <t>N° :</t>
  </si>
  <si>
    <t>D2023-09-0001</t>
  </si>
  <si>
    <r>
      <t>Dossiers d'</t>
    </r>
    <r>
      <rPr>
        <sz val="12"/>
        <color rgb="FFC00000"/>
        <rFont val="Open Sans SemiBold"/>
        <family val="2"/>
      </rPr>
      <t>enregistrement</t>
    </r>
  </si>
  <si>
    <r>
      <t>Informations de l'</t>
    </r>
    <r>
      <rPr>
        <sz val="12"/>
        <color rgb="FFC00000"/>
        <rFont val="Open Sans SemiBold"/>
        <family val="2"/>
      </rPr>
      <t>entreprise</t>
    </r>
  </si>
  <si>
    <r>
      <t xml:space="preserve">Information des </t>
    </r>
    <r>
      <rPr>
        <sz val="12"/>
        <color rgb="FFC00000"/>
        <rFont val="Open Sans SemiBold"/>
        <family val="2"/>
      </rPr>
      <t>clients</t>
    </r>
  </si>
  <si>
    <r>
      <t xml:space="preserve">Informations des </t>
    </r>
    <r>
      <rPr>
        <sz val="12"/>
        <color rgb="FFC00000"/>
        <rFont val="Open Sans SemiBold"/>
        <family val="2"/>
      </rPr>
      <t>produits</t>
    </r>
  </si>
  <si>
    <t xml:space="preserve">Testeur </t>
  </si>
  <si>
    <t>480 chemin du bouscat, 33250, Libourne</t>
  </si>
  <si>
    <t>05 54 58 15 26</t>
  </si>
  <si>
    <t>Qté</t>
  </si>
  <si>
    <t>TOTAL</t>
  </si>
  <si>
    <t xml:space="preserve"> </t>
  </si>
  <si>
    <t>MONTANT TOTAL HT :</t>
  </si>
  <si>
    <t>TVA 20% :</t>
  </si>
  <si>
    <t>MONTANT TOTAL TTC :</t>
  </si>
  <si>
    <t>Testeur v6</t>
  </si>
  <si>
    <t>HH4</t>
  </si>
  <si>
    <t>www.technomax.ca</t>
  </si>
  <si>
    <t>Chloé Woronovycz</t>
  </si>
  <si>
    <t>6655 38e avenue, blabla, blabla</t>
  </si>
  <si>
    <t>559g5g5g5</t>
  </si>
  <si>
    <t>Veuillez saisir les adresses des dossiers d'enregistrement</t>
  </si>
  <si>
    <t>F2023-09-0001</t>
  </si>
  <si>
    <t>C2023-09-0003</t>
  </si>
  <si>
    <t>L2023-09-0004</t>
  </si>
  <si>
    <t>F2023-09-0003</t>
  </si>
  <si>
    <t>N° FACTURE</t>
  </si>
  <si>
    <t>DATE</t>
  </si>
  <si>
    <t>CLIENT</t>
  </si>
  <si>
    <t>MONTANT TTC</t>
  </si>
  <si>
    <t>ÉTAT DE PAIEMENT</t>
  </si>
  <si>
    <t>MODE DE PAIEMENT</t>
  </si>
  <si>
    <t>DOCUMENT</t>
  </si>
  <si>
    <t>Payée</t>
  </si>
  <si>
    <t>Consulter</t>
  </si>
  <si>
    <t>C:\Users\Camil\Desktop\Projetperso\Excel\Documents\Facture\F2023-09-0003.pdf</t>
  </si>
  <si>
    <t>Virement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</si>
</sst>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.00\ &quot;DH&quot;_-;\-* #,##0.00\ &quot;DH&quot;_-;_-* &quot;-&quot;??\ &quot;DH&quot;_-;_-@_-"/>
    <numFmt numFmtId="165" formatCode="_-* #,##0.00\ [$€-40C]_-;\-* #,##0.00\ [$€-40C]_-;_-* &quot;-&quot;??\ [$€-40C]_-;_-@_-"/>
    <numFmt numFmtId="166" formatCode="#,##0.00\ &quot;€&quot;"/>
  </numFmts>
  <fonts count="26">
    <font>
      <sz val="11"/>
      <color theme="1"/>
      <name val="Calibri"/>
      <family val="2"/>
      <scheme val="minor"/>
    </font>
    <font>
      <sz val="11"/>
      <color rgb="FF3C41CD"/>
      <name val="Open Sans SemiBold"/>
      <family val="2"/>
    </font>
    <font>
      <sz val="11"/>
      <color rgb="FF464F5F"/>
      <name val="Montserrat Light"/>
    </font>
    <font>
      <b/>
      <sz val="11"/>
      <color rgb="FF464F5F"/>
      <name val="Montserrat Light"/>
    </font>
    <font>
      <sz val="11"/>
      <color theme="1"/>
      <name val="Montserrat Light"/>
    </font>
    <font>
      <sz val="11"/>
      <color theme="0"/>
      <name val="Open Sans SemiBold"/>
      <family val="2"/>
    </font>
    <font>
      <b/>
      <sz val="11"/>
      <color theme="1"/>
      <name val="Montserrat Light"/>
    </font>
    <font>
      <sz val="11"/>
      <color theme="1"/>
      <name val="Calibri"/>
      <family val="2"/>
      <scheme val="minor"/>
    </font>
    <font>
      <sz val="10"/>
      <color theme="1"/>
      <name val="Open Sans Light"/>
      <family val="2"/>
    </font>
    <font>
      <sz val="10"/>
      <color rgb="FF464F5F"/>
      <name val="Montserrat"/>
    </font>
    <font>
      <sz val="11"/>
      <color theme="1"/>
      <name val="Open Sans SemiBold"/>
      <family val="2"/>
    </font>
    <font>
      <sz val="12"/>
      <color rgb="FF464F5F"/>
      <name val="Open Sans SemiBold"/>
      <family val="2"/>
    </font>
    <font>
      <sz val="11"/>
      <color rgb="FF464F5F"/>
      <name val="Montserrat"/>
    </font>
    <font>
      <sz val="11"/>
      <color rgb="FF464F5F"/>
      <name val="Open Sans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131525"/>
      <name val="Open Sans Semibold"/>
      <family val="2"/>
    </font>
    <font>
      <sz val="14"/>
      <color rgb="FF131525"/>
      <name val="Open Sans Semibold"/>
      <family val="2"/>
    </font>
    <font>
      <sz val="12"/>
      <color theme="1"/>
      <name val="Calibri"/>
      <family val="2"/>
      <scheme val="minor"/>
    </font>
    <font>
      <sz val="12"/>
      <color rgb="FFC00000"/>
      <name val="Open Sans SemiBold"/>
      <family val="2"/>
    </font>
    <font>
      <sz val="11"/>
      <color rgb="FF464F5F"/>
      <name val="Microsoft YaHei UI Light"/>
      <family val="2"/>
    </font>
    <font>
      <sz val="14"/>
      <color rgb="FFC00000"/>
      <name val="Open Sans SemiBold"/>
      <family val="2"/>
    </font>
    <font>
      <sz val="11"/>
      <color theme="1"/>
      <name val="Montserrat"/>
    </font>
    <font>
      <sz val="12"/>
      <color theme="1"/>
      <name val="Montserrat"/>
    </font>
    <font>
      <b/>
      <sz val="11"/>
      <color theme="1"/>
      <name val="Montserrat"/>
    </font>
    <font>
      <u/>
      <sz val="11"/>
      <color rgb="FF3C41CD"/>
      <name val="Montserrat"/>
    </font>
  </fonts>
  <fills count="6">
    <fill>
      <patternFill patternType="none"/>
    </fill>
    <fill>
      <patternFill patternType="gray125"/>
    </fill>
    <fill>
      <patternFill patternType="solid">
        <fgColor rgb="FFF8F9F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7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83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Border="1"/>
    <xf numFmtId="0" fontId="1" fillId="3" borderId="0" xfId="0" applyFont="1" applyFill="1" applyAlignment="1">
      <alignment horizontal="right"/>
    </xf>
    <xf numFmtId="0" fontId="12" fillId="3" borderId="0" xfId="0" applyFont="1" applyFill="1" applyAlignment="1">
      <alignment horizontal="center" vertical="center"/>
    </xf>
    <xf numFmtId="165" fontId="12" fillId="3" borderId="0" xfId="1" applyNumberFormat="1" applyFont="1" applyFill="1" applyAlignment="1">
      <alignment horizontal="center" vertical="center"/>
    </xf>
    <xf numFmtId="0" fontId="12" fillId="3" borderId="0" xfId="0" applyFont="1" applyFill="1" applyAlignment="1">
      <alignment horizontal="left" vertical="center"/>
    </xf>
    <xf numFmtId="165" fontId="12" fillId="3" borderId="0" xfId="0" applyNumberFormat="1" applyFont="1" applyFill="1" applyAlignment="1">
      <alignment horizontal="center" vertical="center"/>
    </xf>
    <xf numFmtId="0" fontId="13" fillId="3" borderId="0" xfId="0" applyFont="1" applyFill="1" applyAlignment="1">
      <alignment horizontal="right"/>
    </xf>
    <xf numFmtId="0" fontId="12" fillId="3" borderId="0" xfId="0" applyFont="1" applyFill="1" applyAlignment="1">
      <alignment vertical="center"/>
    </xf>
    <xf numFmtId="0" fontId="12" fillId="3" borderId="0" xfId="0" applyFont="1" applyFill="1" applyAlignment="1">
      <alignment horizontal="left" vertical="center" wrapText="1"/>
    </xf>
    <xf numFmtId="0" fontId="2" fillId="3" borderId="0" xfId="0" applyFont="1" applyFill="1" applyAlignment="1">
      <alignment horizontal="center"/>
    </xf>
    <xf numFmtId="0" fontId="2" fillId="3" borderId="0" xfId="0" applyFont="1" applyFill="1" applyBorder="1" applyAlignment="1">
      <alignment horizontal="center"/>
    </xf>
    <xf numFmtId="165" fontId="2" fillId="3" borderId="0" xfId="0" applyNumberFormat="1" applyFont="1" applyFill="1" applyBorder="1" applyAlignment="1">
      <alignment vertical="center"/>
    </xf>
    <xf numFmtId="165" fontId="2" fillId="3" borderId="0" xfId="0" applyNumberFormat="1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/>
    <xf numFmtId="0" fontId="2" fillId="3" borderId="0" xfId="0" applyNumberFormat="1" applyFont="1" applyFill="1" applyAlignment="1">
      <alignment vertical="center"/>
    </xf>
    <xf numFmtId="0" fontId="4" fillId="3" borderId="0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6" fillId="3" borderId="0" xfId="0" applyFont="1" applyFill="1" applyAlignment="1">
      <alignment vertical="center"/>
    </xf>
    <xf numFmtId="0" fontId="2" fillId="3" borderId="0" xfId="0" applyFont="1" applyFill="1" applyAlignment="1">
      <alignment vertical="center" wrapText="1"/>
    </xf>
    <xf numFmtId="0" fontId="2" fillId="3" borderId="0" xfId="0" applyFont="1" applyFill="1" applyBorder="1"/>
    <xf numFmtId="0" fontId="17" fillId="3" borderId="0" xfId="0" applyFont="1" applyFill="1" applyAlignment="1">
      <alignment horizontal="center" vertical="center"/>
    </xf>
    <xf numFmtId="0" fontId="0" fillId="4" borderId="0" xfId="0" applyFill="1"/>
    <xf numFmtId="0" fontId="0" fillId="3" borderId="0" xfId="0" applyFill="1" applyAlignment="1">
      <alignment horizontal="center"/>
    </xf>
    <xf numFmtId="0" fontId="18" fillId="3" borderId="0" xfId="0" applyFont="1" applyFill="1"/>
    <xf numFmtId="14" fontId="20" fillId="3" borderId="0" xfId="0" applyNumberFormat="1" applyFont="1" applyFill="1" applyAlignment="1">
      <alignment horizontal="left"/>
    </xf>
    <xf numFmtId="0" fontId="19" fillId="3" borderId="0" xfId="0" applyFont="1" applyFill="1" applyAlignment="1">
      <alignment horizontal="right"/>
    </xf>
    <xf numFmtId="0" fontId="20" fillId="3" borderId="0" xfId="0" applyFont="1" applyFill="1" applyAlignment="1"/>
    <xf numFmtId="0" fontId="10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2" fillId="3" borderId="2" xfId="0" applyFont="1" applyFill="1" applyBorder="1" applyAlignment="1">
      <alignment horizontal="center"/>
    </xf>
    <xf numFmtId="165" fontId="2" fillId="3" borderId="0" xfId="0" applyNumberFormat="1" applyFont="1" applyFill="1" applyAlignment="1">
      <alignment horizontal="center" vertical="center"/>
    </xf>
    <xf numFmtId="165" fontId="2" fillId="5" borderId="0" xfId="0" applyNumberFormat="1" applyFont="1" applyFill="1" applyAlignment="1">
      <alignment horizontal="center" vertical="center"/>
    </xf>
    <xf numFmtId="165" fontId="2" fillId="5" borderId="0" xfId="0" applyNumberFormat="1" applyFont="1" applyFill="1" applyAlignment="1">
      <alignment horizontal="center"/>
    </xf>
    <xf numFmtId="165" fontId="2" fillId="3" borderId="0" xfId="0" applyNumberFormat="1" applyFont="1" applyFill="1" applyAlignment="1">
      <alignment horizontal="center"/>
    </xf>
    <xf numFmtId="165" fontId="2" fillId="3" borderId="2" xfId="0" applyNumberFormat="1" applyFont="1" applyFill="1" applyBorder="1" applyAlignment="1">
      <alignment horizontal="center"/>
    </xf>
    <xf numFmtId="165" fontId="2" fillId="3" borderId="0" xfId="1" applyNumberFormat="1" applyFont="1" applyFill="1" applyAlignment="1">
      <alignment vertical="center"/>
    </xf>
    <xf numFmtId="0" fontId="2" fillId="3" borderId="0" xfId="0" applyNumberFormat="1" applyFont="1" applyFill="1" applyAlignment="1">
      <alignment horizontal="center" vertical="center"/>
    </xf>
    <xf numFmtId="0" fontId="2" fillId="3" borderId="2" xfId="0" applyNumberFormat="1" applyFont="1" applyFill="1" applyBorder="1" applyAlignment="1"/>
    <xf numFmtId="0" fontId="10" fillId="4" borderId="0" xfId="0" applyFont="1" applyFill="1" applyAlignment="1">
      <alignment horizontal="left"/>
    </xf>
    <xf numFmtId="0" fontId="22" fillId="3" borderId="0" xfId="0" applyFont="1" applyFill="1" applyAlignment="1">
      <alignment horizontal="center"/>
    </xf>
    <xf numFmtId="14" fontId="22" fillId="3" borderId="0" xfId="0" applyNumberFormat="1" applyFont="1" applyFill="1" applyAlignment="1">
      <alignment horizontal="center"/>
    </xf>
    <xf numFmtId="0" fontId="23" fillId="3" borderId="0" xfId="0" applyFont="1" applyFill="1" applyAlignment="1">
      <alignment horizontal="center"/>
    </xf>
    <xf numFmtId="0" fontId="22" fillId="3" borderId="3" xfId="0" applyFont="1" applyFill="1" applyBorder="1" applyAlignment="1">
      <alignment horizontal="left"/>
    </xf>
    <xf numFmtId="0" fontId="24" fillId="3" borderId="3" xfId="0" applyFont="1" applyFill="1" applyBorder="1" applyAlignment="1">
      <alignment horizontal="center" vertical="center"/>
    </xf>
    <xf numFmtId="0" fontId="22" fillId="3" borderId="0" xfId="0" applyFont="1" applyFill="1" applyAlignment="1"/>
    <xf numFmtId="14" fontId="22" fillId="3" borderId="0" xfId="0" applyNumberFormat="1" applyFont="1" applyFill="1" applyAlignment="1"/>
    <xf numFmtId="14" fontId="25" fillId="3" borderId="0" xfId="2" applyNumberFormat="1" applyFont="1" applyFill="1" applyAlignment="1">
      <alignment horizontal="center"/>
    </xf>
    <xf numFmtId="166" fontId="23" fillId="3" borderId="0" xfId="0" applyNumberFormat="1" applyFont="1" applyFill="1" applyAlignment="1">
      <alignment horizontal="center"/>
    </xf>
    <xf numFmtId="2" fontId="23" fillId="3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left"/>
    </xf>
    <xf numFmtId="0" fontId="15" fillId="2" borderId="1" xfId="2" applyFill="1" applyBorder="1" applyAlignment="1">
      <alignment horizontal="left"/>
    </xf>
    <xf numFmtId="0" fontId="9" fillId="2" borderId="1" xfId="0" applyFont="1" applyFill="1" applyBorder="1" applyAlignment="1">
      <alignment horizontal="left"/>
    </xf>
    <xf numFmtId="0" fontId="11" fillId="3" borderId="0" xfId="0" applyFont="1" applyFill="1" applyAlignment="1">
      <alignment horizontal="left"/>
    </xf>
    <xf numFmtId="0" fontId="8" fillId="3" borderId="0" xfId="0" applyFont="1" applyFill="1" applyAlignment="1">
      <alignment horizontal="left" vertical="top"/>
    </xf>
    <xf numFmtId="0" fontId="16" fillId="2" borderId="1" xfId="0" applyFont="1" applyFill="1" applyBorder="1" applyAlignment="1">
      <alignment horizontal="left"/>
    </xf>
    <xf numFmtId="14" fontId="20" fillId="3" borderId="0" xfId="0" applyNumberFormat="1" applyFont="1" applyFill="1" applyAlignment="1">
      <alignment horizontal="left"/>
    </xf>
    <xf numFmtId="14" fontId="20" fillId="3" borderId="0" xfId="0" applyNumberFormat="1" applyFont="1" applyFill="1" applyAlignment="1"/>
    <xf numFmtId="0" fontId="20" fillId="3" borderId="0" xfId="0" applyFont="1" applyFill="1" applyAlignment="1"/>
    <xf numFmtId="0" fontId="21" fillId="3" borderId="0" xfId="0" applyFont="1" applyFill="1" applyAlignment="1">
      <alignment horizontal="left" vertical="center"/>
    </xf>
    <xf numFmtId="0" fontId="13" fillId="3" borderId="0" xfId="0" applyFont="1" applyFill="1" applyAlignment="1">
      <alignment horizontal="left"/>
    </xf>
    <xf numFmtId="0" fontId="21" fillId="5" borderId="0" xfId="0" applyFont="1" applyFill="1" applyAlignment="1">
      <alignment horizontal="left"/>
    </xf>
    <xf numFmtId="0" fontId="2" fillId="3" borderId="0" xfId="0" applyFont="1" applyFill="1" applyAlignment="1">
      <alignment horizontal="left"/>
    </xf>
    <xf numFmtId="0" fontId="2" fillId="3" borderId="0" xfId="0" applyNumberFormat="1" applyFont="1" applyFill="1" applyAlignment="1">
      <alignment horizontal="center" vertical="center"/>
    </xf>
    <xf numFmtId="0" fontId="2" fillId="5" borderId="0" xfId="0" applyNumberFormat="1" applyFont="1" applyFill="1" applyAlignment="1">
      <alignment horizontal="center" vertical="center"/>
    </xf>
    <xf numFmtId="0" fontId="2" fillId="5" borderId="0" xfId="0" applyNumberFormat="1" applyFont="1" applyFill="1" applyAlignment="1">
      <alignment horizontal="center"/>
    </xf>
    <xf numFmtId="0" fontId="2" fillId="3" borderId="0" xfId="0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2" fillId="3" borderId="2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right" vertical="center"/>
    </xf>
    <xf numFmtId="0" fontId="4" fillId="3" borderId="0" xfId="0" applyFont="1" applyFill="1" applyAlignment="1">
      <alignment horizontal="right" vertical="center"/>
    </xf>
    <xf numFmtId="0" fontId="2" fillId="3" borderId="2" xfId="0" applyNumberFormat="1" applyFont="1" applyFill="1" applyBorder="1" applyAlignment="1">
      <alignment horizontal="center"/>
    </xf>
  </cellXfs>
  <cellStyles count="3">
    <cellStyle name="Lien hypertexte" xfId="2" builtinId="8"/>
    <cellStyle name="Monétaire" xfId="1" builtinId="4"/>
    <cellStyle name="Normal" xfId="0" builtinId="0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ontserrat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ontserrat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Montserrat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Montserrat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Montserrat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Open Sans Semibold"/>
        <family val="2"/>
        <scheme val="none"/>
      </font>
      <fill>
        <patternFill patternType="solid">
          <fgColor indexed="64"/>
          <bgColor rgb="FFC00000"/>
        </patternFill>
      </fill>
      <alignment horizontal="left" vertical="bottom" textRotation="0" wrapText="0" indent="0" justifyLastLine="0" shrinkToFit="0" readingOrder="0"/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strike val="0"/>
        <outline val="0"/>
        <shadow val="0"/>
        <u val="none"/>
        <vertAlign val="baseline"/>
        <sz val="11"/>
        <color rgb="FF464F5F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464F5F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464F5F"/>
        <name val="Montserrat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464F5F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Open Sans SemiBold"/>
        <family val="2"/>
        <scheme val="none"/>
      </font>
      <fill>
        <patternFill patternType="solid">
          <fgColor indexed="64"/>
          <bgColor rgb="FFC0000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464F5F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464F5F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464F5F"/>
        <name val="Montserrat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464F5F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Open Sans SemiBold"/>
        <family val="2"/>
        <scheme val="none"/>
      </font>
      <fill>
        <patternFill patternType="solid">
          <fgColor indexed="64"/>
          <bgColor rgb="FFC000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sz val="10"/>
        <color theme="1"/>
        <name val="Open Sans SemiBold"/>
        <family val="2"/>
        <scheme val="none"/>
      </font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Style2" pivot="0" table="0" count="10" xr9:uid="{1D3EEE12-50BC-4CA2-A34D-DBB84E2AB420}">
      <tableStyleElement type="wholeTable" dxfId="21"/>
      <tableStyleElement type="headerRow" dxfId="20"/>
    </tableStyle>
  </tableStyles>
  <colors>
    <mruColors>
      <color rgb="FFFF6BA7"/>
      <color rgb="FFEDF3FF"/>
      <color rgb="FF3C41CD"/>
      <color rgb="FFDEDEEA"/>
      <color rgb="FFFF8989"/>
      <color rgb="FF464F5F"/>
      <color rgb="FFFF5050"/>
      <color rgb="FF131525"/>
      <color rgb="FF6172F3"/>
      <color rgb="FFF8F9FD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10"/>
            <color theme="0"/>
            <name val="Montserrat SemiBold"/>
            <scheme val="none"/>
          </font>
          <fill>
            <patternFill patternType="solid">
              <fgColor auto="1"/>
              <bgColor rgb="FF6172F3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0"/>
            <color theme="0"/>
            <name val="Montserrat SemiBold"/>
            <scheme val="none"/>
          </font>
          <fill>
            <patternFill patternType="solid">
              <fgColor auto="1"/>
              <bgColor rgb="FF6172F3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10"/>
            <color rgb="FF0C1EA0"/>
            <name val="Montserrat SemiBold"/>
            <scheme val="none"/>
          </font>
          <fill>
            <patternFill patternType="solid">
              <fgColor theme="4" tint="0.59999389629810485"/>
              <bgColor rgb="FFF8F9FD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sz val="10"/>
            <color rgb="FF999999"/>
            <name val="Montserrat SemiBold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tyle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5" Type="http://schemas.openxmlformats.org/officeDocument/2006/relationships/image" Target="../media/image3.png"/><Relationship Id="rId4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11.png"/><Relationship Id="rId5" Type="http://schemas.openxmlformats.org/officeDocument/2006/relationships/image" Target="../media/image3.png"/><Relationship Id="rId4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12.png"/><Relationship Id="rId5" Type="http://schemas.openxmlformats.org/officeDocument/2006/relationships/image" Target="../media/image3.png"/><Relationship Id="rId4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952500</xdr:colOff>
      <xdr:row>0</xdr:row>
      <xdr:rowOff>99060</xdr:rowOff>
    </xdr:from>
    <xdr:to>
      <xdr:col>12</xdr:col>
      <xdr:colOff>13875</xdr:colOff>
      <xdr:row>1</xdr:row>
      <xdr:rowOff>168180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9620" y="99060"/>
          <a:ext cx="252000" cy="252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1401</xdr:rowOff>
    </xdr:from>
    <xdr:to>
      <xdr:col>26</xdr:col>
      <xdr:colOff>403860</xdr:colOff>
      <xdr:row>3</xdr:row>
      <xdr:rowOff>1401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CxnSpPr/>
      </xdr:nvCxnSpPr>
      <xdr:spPr>
        <a:xfrm>
          <a:off x="0" y="504321"/>
          <a:ext cx="16451580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7620</xdr:colOff>
      <xdr:row>2</xdr:row>
      <xdr:rowOff>133507</xdr:rowOff>
    </xdr:from>
    <xdr:to>
      <xdr:col>18</xdr:col>
      <xdr:colOff>548640</xdr:colOff>
      <xdr:row>2</xdr:row>
      <xdr:rowOff>133507</xdr:rowOff>
    </xdr:to>
    <xdr:cxnSp macro="">
      <xdr:nvCxnSpPr>
        <xdr:cNvPr id="13" name="Connecteur droit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CxnSpPr/>
      </xdr:nvCxnSpPr>
      <xdr:spPr>
        <a:xfrm>
          <a:off x="7620" y="499267"/>
          <a:ext cx="16451580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1068514</xdr:colOff>
      <xdr:row>0</xdr:row>
      <xdr:rowOff>79466</xdr:rowOff>
    </xdr:from>
    <xdr:to>
      <xdr:col>4</xdr:col>
      <xdr:colOff>439729</xdr:colOff>
      <xdr:row>2</xdr:row>
      <xdr:rowOff>26126</xdr:rowOff>
    </xdr:to>
    <xdr:sp macro="[0]!VersDevis" textlink="">
      <xdr:nvSpPr>
        <xdr:cNvPr id="15" name="Rectangle : coins arrondis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2559384" y="79466"/>
          <a:ext cx="1044302" cy="3276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Devis</a:t>
          </a:r>
        </a:p>
      </xdr:txBody>
    </xdr:sp>
    <xdr:clientData/>
  </xdr:twoCellAnchor>
  <xdr:twoCellAnchor>
    <xdr:from>
      <xdr:col>4</xdr:col>
      <xdr:colOff>441484</xdr:colOff>
      <xdr:row>0</xdr:row>
      <xdr:rowOff>79466</xdr:rowOff>
    </xdr:from>
    <xdr:to>
      <xdr:col>5</xdr:col>
      <xdr:colOff>315151</xdr:colOff>
      <xdr:row>2</xdr:row>
      <xdr:rowOff>26126</xdr:rowOff>
    </xdr:to>
    <xdr:sp macro="[0]!VersCommande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3605441" y="79466"/>
          <a:ext cx="1082927" cy="3276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Commande</a:t>
          </a:r>
        </a:p>
      </xdr:txBody>
    </xdr:sp>
    <xdr:clientData/>
  </xdr:twoCellAnchor>
  <xdr:twoCellAnchor>
    <xdr:from>
      <xdr:col>5</xdr:col>
      <xdr:colOff>378089</xdr:colOff>
      <xdr:row>0</xdr:row>
      <xdr:rowOff>79466</xdr:rowOff>
    </xdr:from>
    <xdr:to>
      <xdr:col>6</xdr:col>
      <xdr:colOff>136019</xdr:colOff>
      <xdr:row>2</xdr:row>
      <xdr:rowOff>26126</xdr:rowOff>
    </xdr:to>
    <xdr:sp macro="[0]!VersLivraison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4751306" y="79466"/>
          <a:ext cx="1050017" cy="3276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Livraision</a:t>
          </a:r>
        </a:p>
      </xdr:txBody>
    </xdr:sp>
    <xdr:clientData/>
  </xdr:twoCellAnchor>
  <xdr:twoCellAnchor>
    <xdr:from>
      <xdr:col>6</xdr:col>
      <xdr:colOff>96361</xdr:colOff>
      <xdr:row>0</xdr:row>
      <xdr:rowOff>79466</xdr:rowOff>
    </xdr:from>
    <xdr:to>
      <xdr:col>9</xdr:col>
      <xdr:colOff>80986</xdr:colOff>
      <xdr:row>2</xdr:row>
      <xdr:rowOff>26126</xdr:rowOff>
    </xdr:to>
    <xdr:sp macro="[0]!VersFacture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>
        <a:xfrm>
          <a:off x="5761665" y="79466"/>
          <a:ext cx="1077930" cy="3276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Facture</a:t>
          </a:r>
        </a:p>
      </xdr:txBody>
    </xdr:sp>
    <xdr:clientData/>
  </xdr:twoCellAnchor>
  <xdr:twoCellAnchor>
    <xdr:from>
      <xdr:col>2</xdr:col>
      <xdr:colOff>251460</xdr:colOff>
      <xdr:row>0</xdr:row>
      <xdr:rowOff>88991</xdr:rowOff>
    </xdr:from>
    <xdr:to>
      <xdr:col>3</xdr:col>
      <xdr:colOff>1226820</xdr:colOff>
      <xdr:row>2</xdr:row>
      <xdr:rowOff>35651</xdr:rowOff>
    </xdr:to>
    <xdr:sp macro="" textlink="$E$9">
      <xdr:nvSpPr>
        <xdr:cNvPr id="19" name="Rectangle : coins arrondis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1432560" y="88991"/>
          <a:ext cx="1289685" cy="3276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CF9AB2A-1A30-4175-BB9B-B8D10CFBEC17}" type="TxLink">
            <a:rPr lang="en-US" sz="1400" b="0" i="0" u="none" strike="noStrike">
              <a:solidFill>
                <a:srgbClr val="131525"/>
              </a:solidFill>
              <a:latin typeface="Open Sans Semibold"/>
              <a:ea typeface="Open Sans Semibold"/>
              <a:cs typeface="Open Sans Semibold"/>
            </a:rPr>
            <a:pPr algn="ctr"/>
            <a:t>TechnoMax</a:t>
          </a:fld>
          <a:endParaRPr lang="fr-FR" sz="1400" b="0">
            <a:solidFill>
              <a:srgbClr val="131524"/>
            </a:solidFill>
            <a:latin typeface="Open Sans Semibold" panose="020B0706030804020204" pitchFamily="34" charset="0"/>
            <a:ea typeface="Open Sans Semibold" panose="020B0706030804020204" pitchFamily="34" charset="0"/>
            <a:cs typeface="Open Sans Semibold" panose="020B0706030804020204" pitchFamily="34" charset="0"/>
          </a:endParaRPr>
        </a:p>
      </xdr:txBody>
    </xdr:sp>
    <xdr:clientData/>
  </xdr:twoCellAnchor>
  <xdr:twoCellAnchor editAs="oneCell">
    <xdr:from>
      <xdr:col>2</xdr:col>
      <xdr:colOff>6943</xdr:colOff>
      <xdr:row>0</xdr:row>
      <xdr:rowOff>60960</xdr:rowOff>
    </xdr:from>
    <xdr:to>
      <xdr:col>3</xdr:col>
      <xdr:colOff>50209</xdr:colOff>
      <xdr:row>2</xdr:row>
      <xdr:rowOff>37551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88043" y="60960"/>
          <a:ext cx="357591" cy="3575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1401</xdr:rowOff>
    </xdr:from>
    <xdr:to>
      <xdr:col>26</xdr:col>
      <xdr:colOff>403860</xdr:colOff>
      <xdr:row>3</xdr:row>
      <xdr:rowOff>1401</xdr:rowOff>
    </xdr:to>
    <xdr:cxnSp macro="">
      <xdr:nvCxnSpPr>
        <xdr:cNvPr id="40" name="Connecteur droi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CxnSpPr/>
      </xdr:nvCxnSpPr>
      <xdr:spPr>
        <a:xfrm>
          <a:off x="0" y="504321"/>
          <a:ext cx="16451580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196215</xdr:colOff>
      <xdr:row>0</xdr:row>
      <xdr:rowOff>113095</xdr:rowOff>
    </xdr:from>
    <xdr:to>
      <xdr:col>6</xdr:col>
      <xdr:colOff>377055</xdr:colOff>
      <xdr:row>2</xdr:row>
      <xdr:rowOff>59755</xdr:rowOff>
    </xdr:to>
    <xdr:sp macro="" textlink="">
      <xdr:nvSpPr>
        <xdr:cNvPr id="41" name="Rectangle : coins arrondis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2882265" y="113095"/>
          <a:ext cx="1057140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Dashboard</a:t>
          </a:r>
        </a:p>
      </xdr:txBody>
    </xdr:sp>
    <xdr:clientData/>
  </xdr:twoCellAnchor>
  <xdr:twoCellAnchor>
    <xdr:from>
      <xdr:col>4</xdr:col>
      <xdr:colOff>1990725</xdr:colOff>
      <xdr:row>0</xdr:row>
      <xdr:rowOff>110714</xdr:rowOff>
    </xdr:from>
    <xdr:to>
      <xdr:col>7</xdr:col>
      <xdr:colOff>63534</xdr:colOff>
      <xdr:row>2</xdr:row>
      <xdr:rowOff>57374</xdr:rowOff>
    </xdr:to>
    <xdr:sp macro="" textlink="">
      <xdr:nvSpPr>
        <xdr:cNvPr id="42" name="Rectangle : coins arrondis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3790950" y="110714"/>
          <a:ext cx="749334" cy="403860"/>
        </a:xfrm>
        <a:prstGeom prst="roundRect">
          <a:avLst/>
        </a:prstGeom>
        <a:solidFill>
          <a:srgbClr val="EDF3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3C41CD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Devis</a:t>
          </a:r>
        </a:p>
      </xdr:txBody>
    </xdr:sp>
    <xdr:clientData/>
  </xdr:twoCellAnchor>
  <xdr:twoCellAnchor>
    <xdr:from>
      <xdr:col>7</xdr:col>
      <xdr:colOff>237892</xdr:colOff>
      <xdr:row>0</xdr:row>
      <xdr:rowOff>141670</xdr:rowOff>
    </xdr:from>
    <xdr:to>
      <xdr:col>7</xdr:col>
      <xdr:colOff>1514475</xdr:colOff>
      <xdr:row>2</xdr:row>
      <xdr:rowOff>88330</xdr:rowOff>
    </xdr:to>
    <xdr:sp macro="[0]!VersCommande" textlink="">
      <xdr:nvSpPr>
        <xdr:cNvPr id="43" name="Rectangle : coins arrondis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4714642" y="141670"/>
          <a:ext cx="1276583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Commande</a:t>
          </a:r>
        </a:p>
      </xdr:txBody>
    </xdr:sp>
    <xdr:clientData/>
  </xdr:twoCellAnchor>
  <xdr:twoCellAnchor>
    <xdr:from>
      <xdr:col>7</xdr:col>
      <xdr:colOff>1646087</xdr:colOff>
      <xdr:row>0</xdr:row>
      <xdr:rowOff>127383</xdr:rowOff>
    </xdr:from>
    <xdr:to>
      <xdr:col>8</xdr:col>
      <xdr:colOff>586772</xdr:colOff>
      <xdr:row>2</xdr:row>
      <xdr:rowOff>74043</xdr:rowOff>
    </xdr:to>
    <xdr:sp macro="[0]!VersLivraison" textlink="">
      <xdr:nvSpPr>
        <xdr:cNvPr id="44" name="Rectangle : coins arrondis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6122837" y="127383"/>
          <a:ext cx="950460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Livraison</a:t>
          </a:r>
        </a:p>
      </xdr:txBody>
    </xdr:sp>
    <xdr:clientData/>
  </xdr:twoCellAnchor>
  <xdr:twoCellAnchor>
    <xdr:from>
      <xdr:col>8</xdr:col>
      <xdr:colOff>676275</xdr:colOff>
      <xdr:row>0</xdr:row>
      <xdr:rowOff>134527</xdr:rowOff>
    </xdr:from>
    <xdr:to>
      <xdr:col>9</xdr:col>
      <xdr:colOff>530490</xdr:colOff>
      <xdr:row>2</xdr:row>
      <xdr:rowOff>81187</xdr:rowOff>
    </xdr:to>
    <xdr:sp macro="[0]!VersFacture" textlink="">
      <xdr:nvSpPr>
        <xdr:cNvPr id="45" name="Rectangle : coins arrondis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7162800" y="134527"/>
          <a:ext cx="1101990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Facture</a:t>
          </a:r>
        </a:p>
      </xdr:txBody>
    </xdr:sp>
    <xdr:clientData/>
  </xdr:twoCellAnchor>
  <xdr:twoCellAnchor editAs="oneCell">
    <xdr:from>
      <xdr:col>4</xdr:col>
      <xdr:colOff>346537</xdr:colOff>
      <xdr:row>0</xdr:row>
      <xdr:rowOff>134549</xdr:rowOff>
    </xdr:from>
    <xdr:to>
      <xdr:col>4</xdr:col>
      <xdr:colOff>703007</xdr:colOff>
      <xdr:row>2</xdr:row>
      <xdr:rowOff>34940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150684" y="134549"/>
          <a:ext cx="356470" cy="359832"/>
        </a:xfrm>
        <a:prstGeom prst="rect">
          <a:avLst/>
        </a:prstGeom>
      </xdr:spPr>
    </xdr:pic>
    <xdr:clientData/>
  </xdr:twoCellAnchor>
  <xdr:twoCellAnchor>
    <xdr:from>
      <xdr:col>2</xdr:col>
      <xdr:colOff>205740</xdr:colOff>
      <xdr:row>0</xdr:row>
      <xdr:rowOff>170245</xdr:rowOff>
    </xdr:from>
    <xdr:to>
      <xdr:col>4</xdr:col>
      <xdr:colOff>868680</xdr:colOff>
      <xdr:row>2</xdr:row>
      <xdr:rowOff>116905</xdr:rowOff>
    </xdr:to>
    <xdr:sp macro="" textlink="Devis!$E$9:$F$9">
      <xdr:nvSpPr>
        <xdr:cNvPr id="50" name="Rectangle : coins arrondis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1386840" y="170245"/>
          <a:ext cx="1282065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22A6679-6174-424D-AD7B-6F569D79D8D7}" type="TxLink">
            <a:rPr lang="en-US" sz="1100" b="0" i="0" u="none" strike="noStrike">
              <a:solidFill>
                <a:srgbClr val="000000"/>
              </a:solidFill>
              <a:latin typeface="Calibri"/>
              <a:ea typeface="Open Sans SemiBold" panose="020B0706030804020204" pitchFamily="34" charset="0"/>
              <a:cs typeface="Calibri"/>
            </a:rPr>
            <a:pPr algn="ctr"/>
            <a:t> </a:t>
          </a:fld>
          <a:endParaRPr lang="fr-FR" sz="1400" b="0">
            <a:solidFill>
              <a:srgbClr val="131524"/>
            </a:solidFill>
            <a:latin typeface="Open Sans SemiBold" panose="020B0706030804020204" pitchFamily="34" charset="0"/>
            <a:ea typeface="Open Sans SemiBold" panose="020B0706030804020204" pitchFamily="34" charset="0"/>
            <a:cs typeface="Open Sans SemiBold" panose="020B0706030804020204" pitchFamily="34" charset="0"/>
          </a:endParaRPr>
        </a:p>
      </xdr:txBody>
    </xdr:sp>
    <xdr:clientData/>
  </xdr:twoCellAnchor>
  <xdr:twoCellAnchor editAs="oneCell">
    <xdr:from>
      <xdr:col>19</xdr:col>
      <xdr:colOff>218580</xdr:colOff>
      <xdr:row>0</xdr:row>
      <xdr:rowOff>180974</xdr:rowOff>
    </xdr:from>
    <xdr:to>
      <xdr:col>19</xdr:col>
      <xdr:colOff>451530</xdr:colOff>
      <xdr:row>1</xdr:row>
      <xdr:rowOff>229569</xdr:rowOff>
    </xdr:to>
    <xdr:pic macro="[0]!VersParams">
      <xdr:nvPicPr>
        <xdr:cNvPr id="12" name="Imag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25055" y="180974"/>
          <a:ext cx="232950" cy="239095"/>
        </a:xfrm>
        <a:prstGeom prst="rect">
          <a:avLst/>
        </a:prstGeom>
      </xdr:spPr>
    </xdr:pic>
    <xdr:clientData/>
  </xdr:twoCellAnchor>
  <xdr:twoCellAnchor>
    <xdr:from>
      <xdr:col>3</xdr:col>
      <xdr:colOff>180974</xdr:colOff>
      <xdr:row>5</xdr:row>
      <xdr:rowOff>151194</xdr:rowOff>
    </xdr:from>
    <xdr:to>
      <xdr:col>4</xdr:col>
      <xdr:colOff>2228848</xdr:colOff>
      <xdr:row>9</xdr:row>
      <xdr:rowOff>133349</xdr:rowOff>
    </xdr:to>
    <xdr:sp macro="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8DB745EA-D0FB-4AE1-A484-DCCEB8BC6AED}"/>
            </a:ext>
          </a:extLst>
        </xdr:cNvPr>
        <xdr:cNvSpPr/>
      </xdr:nvSpPr>
      <xdr:spPr>
        <a:xfrm>
          <a:off x="1609724" y="1122744"/>
          <a:ext cx="2419349" cy="82035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 b="0">
              <a:solidFill>
                <a:srgbClr val="C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DEVIS</a:t>
          </a:r>
        </a:p>
      </xdr:txBody>
    </xdr:sp>
    <xdr:clientData/>
  </xdr:twoCellAnchor>
  <xdr:twoCellAnchor>
    <xdr:from>
      <xdr:col>3</xdr:col>
      <xdr:colOff>342900</xdr:colOff>
      <xdr:row>49</xdr:row>
      <xdr:rowOff>66171</xdr:rowOff>
    </xdr:from>
    <xdr:to>
      <xdr:col>12</xdr:col>
      <xdr:colOff>38100</xdr:colOff>
      <xdr:row>49</xdr:row>
      <xdr:rowOff>66675</xdr:rowOff>
    </xdr:to>
    <xdr:cxnSp macro="">
      <xdr:nvCxnSpPr>
        <xdr:cNvPr id="14" name="Connecteur droit 13">
          <a:extLst>
            <a:ext uri="{FF2B5EF4-FFF2-40B4-BE49-F238E27FC236}">
              <a16:creationId xmlns:a16="http://schemas.microsoft.com/office/drawing/2014/main" id="{73530FEE-C5EF-4256-B26B-DC338BB0A698}"/>
            </a:ext>
          </a:extLst>
        </xdr:cNvPr>
        <xdr:cNvCxnSpPr/>
      </xdr:nvCxnSpPr>
      <xdr:spPr>
        <a:xfrm>
          <a:off x="1771650" y="10572246"/>
          <a:ext cx="7924800" cy="504"/>
        </a:xfrm>
        <a:prstGeom prst="line">
          <a:avLst/>
        </a:prstGeom>
        <a:ln w="38100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123824</xdr:colOff>
      <xdr:row>10</xdr:row>
      <xdr:rowOff>166687</xdr:rowOff>
    </xdr:from>
    <xdr:to>
      <xdr:col>16</xdr:col>
      <xdr:colOff>274724</xdr:colOff>
      <xdr:row>12</xdr:row>
      <xdr:rowOff>145687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4B2DE1F7-4211-4AC8-ACBF-F16C0C0421FD}"/>
            </a:ext>
          </a:extLst>
        </xdr:cNvPr>
        <xdr:cNvGrpSpPr/>
      </xdr:nvGrpSpPr>
      <xdr:grpSpPr>
        <a:xfrm>
          <a:off x="11229974" y="2185987"/>
          <a:ext cx="1332000" cy="360000"/>
          <a:chOff x="10877549" y="2185987"/>
          <a:chExt cx="1332000" cy="360000"/>
        </a:xfrm>
        <a:solidFill>
          <a:schemeClr val="bg1">
            <a:lumMod val="65000"/>
          </a:schemeClr>
        </a:solidFill>
      </xdr:grpSpPr>
      <xdr:sp macro="[0]!annuler_devis" textlink="">
        <xdr:nvSpPr>
          <xdr:cNvPr id="21" name="Rectangle : coins arrondis 20">
            <a:extLst>
              <a:ext uri="{FF2B5EF4-FFF2-40B4-BE49-F238E27FC236}">
                <a16:creationId xmlns:a16="http://schemas.microsoft.com/office/drawing/2014/main" id="{ECA46BFB-452A-479D-A7CE-AE384F8A39D6}"/>
              </a:ext>
            </a:extLst>
          </xdr:cNvPr>
          <xdr:cNvSpPr/>
        </xdr:nvSpPr>
        <xdr:spPr>
          <a:xfrm>
            <a:off x="10877549" y="2185987"/>
            <a:ext cx="1332000" cy="360000"/>
          </a:xfrm>
          <a:prstGeom prst="roundRect">
            <a:avLst/>
          </a:prstGeom>
          <a:grpFill/>
          <a:ln>
            <a:noFill/>
          </a:ln>
          <a:effectLst>
            <a:glow rad="38100">
              <a:srgbClr val="DEDEEA">
                <a:alpha val="30980"/>
              </a:srgbClr>
            </a:glo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bg1"/>
                </a:solidFill>
                <a:latin typeface="Arial" panose="020B0604020202020204" pitchFamily="34" charset="0"/>
                <a:ea typeface="Open Sans SemiBold" panose="020B0706030804020204" pitchFamily="34" charset="0"/>
                <a:cs typeface="Arial" panose="020B0604020202020204" pitchFamily="34" charset="0"/>
              </a:rPr>
              <a:t>Annuler</a:t>
            </a:r>
          </a:p>
        </xdr:txBody>
      </xdr:sp>
      <xdr:pic macro="[0]!annuler_devis">
        <xdr:nvPicPr>
          <xdr:cNvPr id="8" name="Image 7">
            <a:extLst>
              <a:ext uri="{FF2B5EF4-FFF2-40B4-BE49-F238E27FC236}">
                <a16:creationId xmlns:a16="http://schemas.microsoft.com/office/drawing/2014/main" id="{9A0F39AD-E055-457D-8137-C996043603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51351" y="2280000"/>
            <a:ext cx="192899" cy="192899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14</xdr:col>
      <xdr:colOff>123824</xdr:colOff>
      <xdr:row>13</xdr:row>
      <xdr:rowOff>57150</xdr:rowOff>
    </xdr:from>
    <xdr:to>
      <xdr:col>16</xdr:col>
      <xdr:colOff>274724</xdr:colOff>
      <xdr:row>14</xdr:row>
      <xdr:rowOff>150450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2F860CE2-8192-43BD-96C2-3FEC817ECC59}"/>
            </a:ext>
          </a:extLst>
        </xdr:cNvPr>
        <xdr:cNvGrpSpPr/>
      </xdr:nvGrpSpPr>
      <xdr:grpSpPr>
        <a:xfrm>
          <a:off x="11229974" y="2724150"/>
          <a:ext cx="1332000" cy="360000"/>
          <a:chOff x="10877549" y="2724150"/>
          <a:chExt cx="1332000" cy="360000"/>
        </a:xfrm>
      </xdr:grpSpPr>
      <xdr:sp macro="[0]!devis_imprimer" textlink="">
        <xdr:nvSpPr>
          <xdr:cNvPr id="22" name="Rectangle : coins arrondis 21">
            <a:extLst>
              <a:ext uri="{FF2B5EF4-FFF2-40B4-BE49-F238E27FC236}">
                <a16:creationId xmlns:a16="http://schemas.microsoft.com/office/drawing/2014/main" id="{ABF81C6F-90A5-4194-BCE8-58EB8C469F56}"/>
              </a:ext>
            </a:extLst>
          </xdr:cNvPr>
          <xdr:cNvSpPr/>
        </xdr:nvSpPr>
        <xdr:spPr>
          <a:xfrm>
            <a:off x="10877549" y="2724150"/>
            <a:ext cx="1332000" cy="360000"/>
          </a:xfrm>
          <a:prstGeom prst="roundRect">
            <a:avLst/>
          </a:prstGeom>
          <a:solidFill>
            <a:srgbClr val="C00000"/>
          </a:solidFill>
          <a:ln>
            <a:noFill/>
          </a:ln>
          <a:effectLst>
            <a:glow rad="38100">
              <a:srgbClr val="DEDEEA">
                <a:alpha val="30980"/>
              </a:srgbClr>
            </a:glo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bg1"/>
                </a:solidFill>
                <a:latin typeface="Arial" panose="020B0604020202020204" pitchFamily="34" charset="0"/>
                <a:ea typeface="Open Sans SemiBold" panose="020B0706030804020204" pitchFamily="34" charset="0"/>
                <a:cs typeface="Arial" panose="020B0604020202020204" pitchFamily="34" charset="0"/>
              </a:rPr>
              <a:t>Imprimer</a:t>
            </a:r>
          </a:p>
        </xdr:txBody>
      </xdr:sp>
      <xdr:pic macro="[0]!devis_imprimer">
        <xdr:nvPicPr>
          <xdr:cNvPr id="11" name="Image 10">
            <a:extLst>
              <a:ext uri="{FF2B5EF4-FFF2-40B4-BE49-F238E27FC236}">
                <a16:creationId xmlns:a16="http://schemas.microsoft.com/office/drawing/2014/main" id="{670C7915-C3E0-4E97-871A-F9E86CBAAC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51351" y="2819325"/>
            <a:ext cx="185774" cy="185774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123824</xdr:colOff>
      <xdr:row>8</xdr:row>
      <xdr:rowOff>66674</xdr:rowOff>
    </xdr:from>
    <xdr:to>
      <xdr:col>16</xdr:col>
      <xdr:colOff>274724</xdr:colOff>
      <xdr:row>9</xdr:row>
      <xdr:rowOff>198074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FE417B99-E9C5-47C8-B593-EE86B18B1430}"/>
            </a:ext>
          </a:extLst>
        </xdr:cNvPr>
        <xdr:cNvGrpSpPr/>
      </xdr:nvGrpSpPr>
      <xdr:grpSpPr>
        <a:xfrm>
          <a:off x="11229974" y="1647824"/>
          <a:ext cx="1332000" cy="360000"/>
          <a:chOff x="10877549" y="1647824"/>
          <a:chExt cx="1332000" cy="360000"/>
        </a:xfrm>
        <a:solidFill>
          <a:schemeClr val="bg1">
            <a:lumMod val="65000"/>
          </a:schemeClr>
        </a:solidFill>
      </xdr:grpSpPr>
      <xdr:sp macro="[0]!nouveau_devis" textlink="">
        <xdr:nvSpPr>
          <xdr:cNvPr id="18" name="Rectangle : coins arrondis 17">
            <a:extLst>
              <a:ext uri="{FF2B5EF4-FFF2-40B4-BE49-F238E27FC236}">
                <a16:creationId xmlns:a16="http://schemas.microsoft.com/office/drawing/2014/main" id="{1868D808-8483-4B9A-9EA2-4D51243F4909}"/>
              </a:ext>
            </a:extLst>
          </xdr:cNvPr>
          <xdr:cNvSpPr/>
        </xdr:nvSpPr>
        <xdr:spPr>
          <a:xfrm>
            <a:off x="10877549" y="1647824"/>
            <a:ext cx="1332000" cy="360000"/>
          </a:xfrm>
          <a:prstGeom prst="roundRect">
            <a:avLst/>
          </a:prstGeom>
          <a:grpFill/>
          <a:ln>
            <a:noFill/>
          </a:ln>
          <a:effectLst>
            <a:glow rad="38100">
              <a:srgbClr val="DEDEEA">
                <a:alpha val="30980"/>
              </a:srgbClr>
            </a:glo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bg1"/>
                </a:solidFill>
                <a:latin typeface="Arial" panose="020B0604020202020204" pitchFamily="34" charset="0"/>
                <a:ea typeface="Open Sans SemiBold" panose="020B0706030804020204" pitchFamily="34" charset="0"/>
                <a:cs typeface="Arial" panose="020B0604020202020204" pitchFamily="34" charset="0"/>
              </a:rPr>
              <a:t>Nouveau</a:t>
            </a:r>
          </a:p>
        </xdr:txBody>
      </xdr:sp>
      <xdr:pic macro="[0]!nouveau_devis">
        <xdr:nvPicPr>
          <xdr:cNvPr id="16" name="Image 15">
            <a:extLst>
              <a:ext uri="{FF2B5EF4-FFF2-40B4-BE49-F238E27FC236}">
                <a16:creationId xmlns:a16="http://schemas.microsoft.com/office/drawing/2014/main" id="{D83AAA38-1C20-4B3B-8D58-F110B930DA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51351" y="1752599"/>
            <a:ext cx="190499" cy="190499"/>
          </a:xfrm>
          <a:prstGeom prst="rect">
            <a:avLst/>
          </a:prstGeom>
          <a:grpFill/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1401</xdr:rowOff>
    </xdr:from>
    <xdr:to>
      <xdr:col>26</xdr:col>
      <xdr:colOff>403860</xdr:colOff>
      <xdr:row>3</xdr:row>
      <xdr:rowOff>1401</xdr:rowOff>
    </xdr:to>
    <xdr:cxnSp macro="">
      <xdr:nvCxnSpPr>
        <xdr:cNvPr id="2" name="Connecteur droit 1">
          <a:extLst>
            <a:ext uri="{FF2B5EF4-FFF2-40B4-BE49-F238E27FC236}">
              <a16:creationId xmlns:a16="http://schemas.microsoft.com/office/drawing/2014/main" id="{E0324EF1-4815-464F-AEF8-26B1A7B9F3B5}"/>
            </a:ext>
          </a:extLst>
        </xdr:cNvPr>
        <xdr:cNvCxnSpPr/>
      </xdr:nvCxnSpPr>
      <xdr:spPr>
        <a:xfrm>
          <a:off x="0" y="591951"/>
          <a:ext cx="18244185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196215</xdr:colOff>
      <xdr:row>0</xdr:row>
      <xdr:rowOff>113095</xdr:rowOff>
    </xdr:from>
    <xdr:to>
      <xdr:col>6</xdr:col>
      <xdr:colOff>377055</xdr:colOff>
      <xdr:row>2</xdr:row>
      <xdr:rowOff>59755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DD8486D9-FD06-463B-99B3-D0794BBFFAF7}"/>
            </a:ext>
          </a:extLst>
        </xdr:cNvPr>
        <xdr:cNvSpPr/>
      </xdr:nvSpPr>
      <xdr:spPr>
        <a:xfrm>
          <a:off x="4472940" y="113095"/>
          <a:ext cx="3810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Dashboard</a:t>
          </a:r>
        </a:p>
      </xdr:txBody>
    </xdr:sp>
    <xdr:clientData/>
  </xdr:twoCellAnchor>
  <xdr:twoCellAnchor>
    <xdr:from>
      <xdr:col>4</xdr:col>
      <xdr:colOff>2009775</xdr:colOff>
      <xdr:row>0</xdr:row>
      <xdr:rowOff>113096</xdr:rowOff>
    </xdr:from>
    <xdr:to>
      <xdr:col>7</xdr:col>
      <xdr:colOff>43066</xdr:colOff>
      <xdr:row>2</xdr:row>
      <xdr:rowOff>59756</xdr:rowOff>
    </xdr:to>
    <xdr:sp macro="[0]!VersDevi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39F0BF14-094D-4240-9A4D-0346093B7A93}"/>
            </a:ext>
          </a:extLst>
        </xdr:cNvPr>
        <xdr:cNvSpPr/>
      </xdr:nvSpPr>
      <xdr:spPr>
        <a:xfrm>
          <a:off x="4152900" y="113096"/>
          <a:ext cx="709816" cy="40386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ysClr val="windowText" lastClr="0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Devis</a:t>
          </a:r>
        </a:p>
      </xdr:txBody>
    </xdr:sp>
    <xdr:clientData/>
  </xdr:twoCellAnchor>
  <xdr:twoCellAnchor>
    <xdr:from>
      <xdr:col>7</xdr:col>
      <xdr:colOff>248409</xdr:colOff>
      <xdr:row>0</xdr:row>
      <xdr:rowOff>108333</xdr:rowOff>
    </xdr:from>
    <xdr:to>
      <xdr:col>7</xdr:col>
      <xdr:colOff>1534470</xdr:colOff>
      <xdr:row>2</xdr:row>
      <xdr:rowOff>54993</xdr:rowOff>
    </xdr:to>
    <xdr:sp macro="[0]!VersCommande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398EB1B7-F7C1-46ED-9C6C-B22578B844EB}"/>
            </a:ext>
          </a:extLst>
        </xdr:cNvPr>
        <xdr:cNvSpPr/>
      </xdr:nvSpPr>
      <xdr:spPr>
        <a:xfrm>
          <a:off x="5068059" y="108333"/>
          <a:ext cx="1286061" cy="403860"/>
        </a:xfrm>
        <a:prstGeom prst="roundRect">
          <a:avLst/>
        </a:prstGeom>
        <a:solidFill>
          <a:srgbClr val="EDF3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3C41CD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Commande</a:t>
          </a:r>
        </a:p>
      </xdr:txBody>
    </xdr:sp>
    <xdr:clientData/>
  </xdr:twoCellAnchor>
  <xdr:twoCellAnchor>
    <xdr:from>
      <xdr:col>7</xdr:col>
      <xdr:colOff>1829046</xdr:colOff>
      <xdr:row>0</xdr:row>
      <xdr:rowOff>103570</xdr:rowOff>
    </xdr:from>
    <xdr:to>
      <xdr:col>8</xdr:col>
      <xdr:colOff>719605</xdr:colOff>
      <xdr:row>2</xdr:row>
      <xdr:rowOff>50230</xdr:rowOff>
    </xdr:to>
    <xdr:sp macro="[0]!VersLivraison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830523FD-5C25-49F1-BD65-64D344B795CA}"/>
            </a:ext>
          </a:extLst>
        </xdr:cNvPr>
        <xdr:cNvSpPr/>
      </xdr:nvSpPr>
      <xdr:spPr>
        <a:xfrm>
          <a:off x="6648696" y="103570"/>
          <a:ext cx="900334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Livraison</a:t>
          </a:r>
        </a:p>
      </xdr:txBody>
    </xdr:sp>
    <xdr:clientData/>
  </xdr:twoCellAnchor>
  <xdr:twoCellAnchor>
    <xdr:from>
      <xdr:col>8</xdr:col>
      <xdr:colOff>868882</xdr:colOff>
      <xdr:row>0</xdr:row>
      <xdr:rowOff>122620</xdr:rowOff>
    </xdr:from>
    <xdr:to>
      <xdr:col>9</xdr:col>
      <xdr:colOff>657225</xdr:colOff>
      <xdr:row>2</xdr:row>
      <xdr:rowOff>69280</xdr:rowOff>
    </xdr:to>
    <xdr:sp macro="[0]!VersFacture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C8CD6282-B519-4368-A72F-44F60B9007AE}"/>
            </a:ext>
          </a:extLst>
        </xdr:cNvPr>
        <xdr:cNvSpPr/>
      </xdr:nvSpPr>
      <xdr:spPr>
        <a:xfrm>
          <a:off x="7698307" y="122620"/>
          <a:ext cx="1036118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Facture</a:t>
          </a:r>
        </a:p>
      </xdr:txBody>
    </xdr:sp>
    <xdr:clientData/>
  </xdr:twoCellAnchor>
  <xdr:twoCellAnchor editAs="oneCell">
    <xdr:from>
      <xdr:col>4</xdr:col>
      <xdr:colOff>343174</xdr:colOff>
      <xdr:row>0</xdr:row>
      <xdr:rowOff>133350</xdr:rowOff>
    </xdr:from>
    <xdr:to>
      <xdr:col>4</xdr:col>
      <xdr:colOff>708019</xdr:colOff>
      <xdr:row>2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387FC86F-A0B1-46A9-8045-E995A9EBE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86299" y="133350"/>
          <a:ext cx="364845" cy="371475"/>
        </a:xfrm>
        <a:prstGeom prst="rect">
          <a:avLst/>
        </a:prstGeom>
      </xdr:spPr>
    </xdr:pic>
    <xdr:clientData/>
  </xdr:twoCellAnchor>
  <xdr:twoCellAnchor>
    <xdr:from>
      <xdr:col>2</xdr:col>
      <xdr:colOff>205740</xdr:colOff>
      <xdr:row>0</xdr:row>
      <xdr:rowOff>170245</xdr:rowOff>
    </xdr:from>
    <xdr:to>
      <xdr:col>4</xdr:col>
      <xdr:colOff>868680</xdr:colOff>
      <xdr:row>2</xdr:row>
      <xdr:rowOff>116905</xdr:rowOff>
    </xdr:to>
    <xdr:sp macro="" textlink="Devis!$E$9:$F$9">
      <xdr:nvSpPr>
        <xdr:cNvPr id="9" name="Rectangle : coins arrondis 8">
          <a:extLst>
            <a:ext uri="{FF2B5EF4-FFF2-40B4-BE49-F238E27FC236}">
              <a16:creationId xmlns:a16="http://schemas.microsoft.com/office/drawing/2014/main" id="{99F53916-A116-4DB5-B320-EE0E2E6510A2}"/>
            </a:ext>
          </a:extLst>
        </xdr:cNvPr>
        <xdr:cNvSpPr/>
      </xdr:nvSpPr>
      <xdr:spPr>
        <a:xfrm>
          <a:off x="1386840" y="170245"/>
          <a:ext cx="1282065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22A6679-6174-424D-AD7B-6F569D79D8D7}" type="TxLink">
            <a:rPr lang="en-US" sz="1100" b="0" i="0" u="none" strike="noStrike">
              <a:solidFill>
                <a:srgbClr val="000000"/>
              </a:solidFill>
              <a:latin typeface="Calibri"/>
              <a:ea typeface="Open Sans SemiBold" panose="020B0706030804020204" pitchFamily="34" charset="0"/>
              <a:cs typeface="Calibri"/>
            </a:rPr>
            <a:pPr algn="ctr"/>
            <a:t> </a:t>
          </a:fld>
          <a:endParaRPr lang="fr-FR" sz="1400" b="0">
            <a:solidFill>
              <a:srgbClr val="131524"/>
            </a:solidFill>
            <a:latin typeface="Open Sans SemiBold" panose="020B0706030804020204" pitchFamily="34" charset="0"/>
            <a:ea typeface="Open Sans SemiBold" panose="020B0706030804020204" pitchFamily="34" charset="0"/>
            <a:cs typeface="Open Sans SemiBold" panose="020B0706030804020204" pitchFamily="34" charset="0"/>
          </a:endParaRPr>
        </a:p>
      </xdr:txBody>
    </xdr:sp>
    <xdr:clientData/>
  </xdr:twoCellAnchor>
  <xdr:twoCellAnchor>
    <xdr:from>
      <xdr:col>3</xdr:col>
      <xdr:colOff>95249</xdr:colOff>
      <xdr:row>5</xdr:row>
      <xdr:rowOff>151194</xdr:rowOff>
    </xdr:from>
    <xdr:to>
      <xdr:col>7</xdr:col>
      <xdr:colOff>1914525</xdr:colOff>
      <xdr:row>9</xdr:row>
      <xdr:rowOff>133349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770B5D3B-4553-4037-BA7D-3E7C2C575BAC}"/>
            </a:ext>
          </a:extLst>
        </xdr:cNvPr>
        <xdr:cNvSpPr/>
      </xdr:nvSpPr>
      <xdr:spPr>
        <a:xfrm>
          <a:off x="1866899" y="1179894"/>
          <a:ext cx="4867276" cy="82035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 b="0">
              <a:solidFill>
                <a:srgbClr val="C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BON</a:t>
          </a:r>
          <a:r>
            <a:rPr lang="fr-FR" sz="3200" b="0" baseline="0">
              <a:solidFill>
                <a:srgbClr val="C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 </a:t>
          </a:r>
          <a:r>
            <a:rPr lang="fr-FR" sz="3600" b="0" baseline="0">
              <a:solidFill>
                <a:srgbClr val="C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DE</a:t>
          </a:r>
          <a:r>
            <a:rPr lang="fr-FR" sz="3200" b="0" baseline="0">
              <a:solidFill>
                <a:srgbClr val="C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 </a:t>
          </a:r>
          <a:r>
            <a:rPr lang="fr-FR" sz="3600" b="0">
              <a:solidFill>
                <a:srgbClr val="C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COMMANDE</a:t>
          </a:r>
          <a:endParaRPr lang="fr-FR" sz="4000" b="0">
            <a:solidFill>
              <a:srgbClr val="C00000"/>
            </a:solidFill>
            <a:latin typeface="Open Sans SemiBold" panose="020B0706030804020204" pitchFamily="34" charset="0"/>
            <a:ea typeface="Open Sans SemiBold" panose="020B0706030804020204" pitchFamily="34" charset="0"/>
            <a:cs typeface="Open Sans SemiBold" panose="020B0706030804020204" pitchFamily="34" charset="0"/>
          </a:endParaRPr>
        </a:p>
      </xdr:txBody>
    </xdr:sp>
    <xdr:clientData/>
  </xdr:twoCellAnchor>
  <xdr:twoCellAnchor>
    <xdr:from>
      <xdr:col>3</xdr:col>
      <xdr:colOff>342900</xdr:colOff>
      <xdr:row>49</xdr:row>
      <xdr:rowOff>66171</xdr:rowOff>
    </xdr:from>
    <xdr:to>
      <xdr:col>12</xdr:col>
      <xdr:colOff>38100</xdr:colOff>
      <xdr:row>49</xdr:row>
      <xdr:rowOff>66675</xdr:rowOff>
    </xdr:to>
    <xdr:cxnSp macro="">
      <xdr:nvCxnSpPr>
        <xdr:cNvPr id="13" name="Connecteur droit 12">
          <a:extLst>
            <a:ext uri="{FF2B5EF4-FFF2-40B4-BE49-F238E27FC236}">
              <a16:creationId xmlns:a16="http://schemas.microsoft.com/office/drawing/2014/main" id="{2C919BB7-0CC1-48AA-B87D-A08AA4559DB0}"/>
            </a:ext>
          </a:extLst>
        </xdr:cNvPr>
        <xdr:cNvCxnSpPr/>
      </xdr:nvCxnSpPr>
      <xdr:spPr>
        <a:xfrm>
          <a:off x="1771650" y="10572246"/>
          <a:ext cx="7924800" cy="504"/>
        </a:xfrm>
        <a:prstGeom prst="line">
          <a:avLst/>
        </a:prstGeom>
        <a:ln w="38100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123824</xdr:colOff>
      <xdr:row>10</xdr:row>
      <xdr:rowOff>166687</xdr:rowOff>
    </xdr:from>
    <xdr:to>
      <xdr:col>16</xdr:col>
      <xdr:colOff>274724</xdr:colOff>
      <xdr:row>12</xdr:row>
      <xdr:rowOff>145687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99724AFF-2877-4D94-8C38-E187B374A8FC}"/>
            </a:ext>
          </a:extLst>
        </xdr:cNvPr>
        <xdr:cNvGrpSpPr/>
      </xdr:nvGrpSpPr>
      <xdr:grpSpPr>
        <a:xfrm>
          <a:off x="11220449" y="2243137"/>
          <a:ext cx="1674900" cy="360000"/>
          <a:chOff x="10877549" y="2185987"/>
          <a:chExt cx="1332000" cy="360000"/>
        </a:xfrm>
        <a:solidFill>
          <a:schemeClr val="bg1">
            <a:lumMod val="65000"/>
          </a:schemeClr>
        </a:solidFill>
      </xdr:grpSpPr>
      <xdr:sp macro="[0]!annuler_commande" textlink="">
        <xdr:nvSpPr>
          <xdr:cNvPr id="15" name="Rectangle : coins arrondis 14">
            <a:extLst>
              <a:ext uri="{FF2B5EF4-FFF2-40B4-BE49-F238E27FC236}">
                <a16:creationId xmlns:a16="http://schemas.microsoft.com/office/drawing/2014/main" id="{0E83CF41-7EFF-4657-96EF-A9136A357D6C}"/>
              </a:ext>
            </a:extLst>
          </xdr:cNvPr>
          <xdr:cNvSpPr/>
        </xdr:nvSpPr>
        <xdr:spPr>
          <a:xfrm>
            <a:off x="10877549" y="2185987"/>
            <a:ext cx="1332000" cy="360000"/>
          </a:xfrm>
          <a:prstGeom prst="roundRect">
            <a:avLst/>
          </a:prstGeom>
          <a:grpFill/>
          <a:ln>
            <a:noFill/>
          </a:ln>
          <a:effectLst>
            <a:glow rad="38100">
              <a:srgbClr val="DEDEEA">
                <a:alpha val="30980"/>
              </a:srgbClr>
            </a:glo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bg1"/>
                </a:solidFill>
                <a:latin typeface="Arial" panose="020B0604020202020204" pitchFamily="34" charset="0"/>
                <a:ea typeface="Open Sans SemiBold" panose="020B0706030804020204" pitchFamily="34" charset="0"/>
                <a:cs typeface="Arial" panose="020B0604020202020204" pitchFamily="34" charset="0"/>
              </a:rPr>
              <a:t>Annuler</a:t>
            </a:r>
          </a:p>
        </xdr:txBody>
      </xdr:sp>
      <xdr:pic macro="[0]!annuler_commande">
        <xdr:nvPicPr>
          <xdr:cNvPr id="16" name="Image 15">
            <a:extLst>
              <a:ext uri="{FF2B5EF4-FFF2-40B4-BE49-F238E27FC236}">
                <a16:creationId xmlns:a16="http://schemas.microsoft.com/office/drawing/2014/main" id="{C0844400-6014-4BCB-83B3-A3FC144BC0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51351" y="2280000"/>
            <a:ext cx="192899" cy="192899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14</xdr:col>
      <xdr:colOff>123824</xdr:colOff>
      <xdr:row>13</xdr:row>
      <xdr:rowOff>57150</xdr:rowOff>
    </xdr:from>
    <xdr:to>
      <xdr:col>16</xdr:col>
      <xdr:colOff>274724</xdr:colOff>
      <xdr:row>14</xdr:row>
      <xdr:rowOff>150450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30B2EF1A-D2A1-44BA-940B-BE4A02D411AC}"/>
            </a:ext>
          </a:extLst>
        </xdr:cNvPr>
        <xdr:cNvGrpSpPr/>
      </xdr:nvGrpSpPr>
      <xdr:grpSpPr>
        <a:xfrm>
          <a:off x="11220449" y="2781300"/>
          <a:ext cx="1674900" cy="302850"/>
          <a:chOff x="10877549" y="2724150"/>
          <a:chExt cx="1332000" cy="360000"/>
        </a:xfrm>
      </xdr:grpSpPr>
      <xdr:sp macro="[0]!commande_imprimer" textlink="">
        <xdr:nvSpPr>
          <xdr:cNvPr id="18" name="Rectangle : coins arrondis 17">
            <a:extLst>
              <a:ext uri="{FF2B5EF4-FFF2-40B4-BE49-F238E27FC236}">
                <a16:creationId xmlns:a16="http://schemas.microsoft.com/office/drawing/2014/main" id="{880C33E9-3D2E-4D22-A181-C4662C12148C}"/>
              </a:ext>
            </a:extLst>
          </xdr:cNvPr>
          <xdr:cNvSpPr/>
        </xdr:nvSpPr>
        <xdr:spPr>
          <a:xfrm>
            <a:off x="10877549" y="2724150"/>
            <a:ext cx="1332000" cy="360000"/>
          </a:xfrm>
          <a:prstGeom prst="roundRect">
            <a:avLst/>
          </a:prstGeom>
          <a:solidFill>
            <a:srgbClr val="C00000"/>
          </a:solidFill>
          <a:ln>
            <a:noFill/>
          </a:ln>
          <a:effectLst>
            <a:glow rad="38100">
              <a:srgbClr val="DEDEEA">
                <a:alpha val="30980"/>
              </a:srgbClr>
            </a:glo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bg1"/>
                </a:solidFill>
                <a:latin typeface="Arial" panose="020B0604020202020204" pitchFamily="34" charset="0"/>
                <a:ea typeface="Open Sans SemiBold" panose="020B0706030804020204" pitchFamily="34" charset="0"/>
                <a:cs typeface="Arial" panose="020B0604020202020204" pitchFamily="34" charset="0"/>
              </a:rPr>
              <a:t>Imprimer</a:t>
            </a:r>
          </a:p>
        </xdr:txBody>
      </xdr:sp>
      <xdr:pic macro="[0]!commande_imprimer">
        <xdr:nvPicPr>
          <xdr:cNvPr id="19" name="Image 18">
            <a:extLst>
              <a:ext uri="{FF2B5EF4-FFF2-40B4-BE49-F238E27FC236}">
                <a16:creationId xmlns:a16="http://schemas.microsoft.com/office/drawing/2014/main" id="{72674D34-73CF-46B4-912A-40B3634597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51351" y="2819325"/>
            <a:ext cx="185774" cy="185774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123824</xdr:colOff>
      <xdr:row>8</xdr:row>
      <xdr:rowOff>66674</xdr:rowOff>
    </xdr:from>
    <xdr:to>
      <xdr:col>16</xdr:col>
      <xdr:colOff>274724</xdr:colOff>
      <xdr:row>9</xdr:row>
      <xdr:rowOff>188549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4BB3609B-1C4E-48D2-9E01-21711780E814}"/>
            </a:ext>
          </a:extLst>
        </xdr:cNvPr>
        <xdr:cNvGrpSpPr/>
      </xdr:nvGrpSpPr>
      <xdr:grpSpPr>
        <a:xfrm>
          <a:off x="11220449" y="1704974"/>
          <a:ext cx="1674900" cy="350475"/>
          <a:chOff x="10877549" y="1647824"/>
          <a:chExt cx="1332000" cy="360000"/>
        </a:xfrm>
        <a:solidFill>
          <a:schemeClr val="bg1">
            <a:lumMod val="65000"/>
          </a:schemeClr>
        </a:solidFill>
      </xdr:grpSpPr>
      <xdr:sp macro="[0]!nouvelle_commande" textlink="">
        <xdr:nvSpPr>
          <xdr:cNvPr id="21" name="Rectangle : coins arrondis 20">
            <a:extLst>
              <a:ext uri="{FF2B5EF4-FFF2-40B4-BE49-F238E27FC236}">
                <a16:creationId xmlns:a16="http://schemas.microsoft.com/office/drawing/2014/main" id="{999483DB-9D38-44FD-951D-0B912F119C1C}"/>
              </a:ext>
            </a:extLst>
          </xdr:cNvPr>
          <xdr:cNvSpPr/>
        </xdr:nvSpPr>
        <xdr:spPr>
          <a:xfrm>
            <a:off x="10877549" y="1647824"/>
            <a:ext cx="1332000" cy="360000"/>
          </a:xfrm>
          <a:prstGeom prst="roundRect">
            <a:avLst/>
          </a:prstGeom>
          <a:grpFill/>
          <a:ln>
            <a:noFill/>
          </a:ln>
          <a:effectLst>
            <a:glow rad="38100">
              <a:srgbClr val="DEDEEA">
                <a:alpha val="30980"/>
              </a:srgbClr>
            </a:glo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bg1"/>
                </a:solidFill>
                <a:latin typeface="Arial" panose="020B0604020202020204" pitchFamily="34" charset="0"/>
                <a:ea typeface="Open Sans SemiBold" panose="020B0706030804020204" pitchFamily="34" charset="0"/>
                <a:cs typeface="Arial" panose="020B0604020202020204" pitchFamily="34" charset="0"/>
              </a:rPr>
              <a:t>Nouveau</a:t>
            </a:r>
          </a:p>
        </xdr:txBody>
      </xdr:sp>
      <xdr:pic macro="[0]!nouvelle_commande">
        <xdr:nvPicPr>
          <xdr:cNvPr id="22" name="Image 21">
            <a:extLst>
              <a:ext uri="{FF2B5EF4-FFF2-40B4-BE49-F238E27FC236}">
                <a16:creationId xmlns:a16="http://schemas.microsoft.com/office/drawing/2014/main" id="{6E504912-8FBC-4239-AF0C-DD8FA6B5AD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51351" y="1752599"/>
            <a:ext cx="190499" cy="190499"/>
          </a:xfrm>
          <a:prstGeom prst="rect">
            <a:avLst/>
          </a:prstGeom>
          <a:grpFill/>
        </xdr:spPr>
      </xdr:pic>
    </xdr:grpSp>
    <xdr:clientData/>
  </xdr:twoCellAnchor>
  <xdr:twoCellAnchor editAs="oneCell">
    <xdr:from>
      <xdr:col>19</xdr:col>
      <xdr:colOff>419100</xdr:colOff>
      <xdr:row>1</xdr:row>
      <xdr:rowOff>56719</xdr:rowOff>
    </xdr:from>
    <xdr:to>
      <xdr:col>19</xdr:col>
      <xdr:colOff>652050</xdr:colOff>
      <xdr:row>2</xdr:row>
      <xdr:rowOff>29114</xdr:rowOff>
    </xdr:to>
    <xdr:pic macro="[0]!VersParams">
      <xdr:nvPicPr>
        <xdr:cNvPr id="24" name="Image 23">
          <a:extLst>
            <a:ext uri="{FF2B5EF4-FFF2-40B4-BE49-F238E27FC236}">
              <a16:creationId xmlns:a16="http://schemas.microsoft.com/office/drawing/2014/main" id="{B6566838-1601-4F5C-A10F-E28EF4D98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725" y="247219"/>
          <a:ext cx="232950" cy="23909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1401</xdr:rowOff>
    </xdr:from>
    <xdr:to>
      <xdr:col>26</xdr:col>
      <xdr:colOff>403860</xdr:colOff>
      <xdr:row>3</xdr:row>
      <xdr:rowOff>1401</xdr:rowOff>
    </xdr:to>
    <xdr:cxnSp macro="">
      <xdr:nvCxnSpPr>
        <xdr:cNvPr id="2" name="Connecteur droit 1">
          <a:extLst>
            <a:ext uri="{FF2B5EF4-FFF2-40B4-BE49-F238E27FC236}">
              <a16:creationId xmlns:a16="http://schemas.microsoft.com/office/drawing/2014/main" id="{747245AA-A6EF-4D93-81FA-4EEC95298433}"/>
            </a:ext>
          </a:extLst>
        </xdr:cNvPr>
        <xdr:cNvCxnSpPr/>
      </xdr:nvCxnSpPr>
      <xdr:spPr>
        <a:xfrm>
          <a:off x="0" y="649101"/>
          <a:ext cx="20644485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2076450</xdr:colOff>
      <xdr:row>0</xdr:row>
      <xdr:rowOff>132145</xdr:rowOff>
    </xdr:from>
    <xdr:to>
      <xdr:col>7</xdr:col>
      <xdr:colOff>109741</xdr:colOff>
      <xdr:row>2</xdr:row>
      <xdr:rowOff>78805</xdr:rowOff>
    </xdr:to>
    <xdr:sp macro="[0]!VersDevi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12D7A744-4DC0-45D7-88DE-D7E28CBA91E7}"/>
            </a:ext>
          </a:extLst>
        </xdr:cNvPr>
        <xdr:cNvSpPr/>
      </xdr:nvSpPr>
      <xdr:spPr>
        <a:xfrm>
          <a:off x="4219575" y="132145"/>
          <a:ext cx="709816" cy="40386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ysClr val="windowText" lastClr="0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Devis</a:t>
          </a:r>
        </a:p>
      </xdr:txBody>
    </xdr:sp>
    <xdr:clientData/>
  </xdr:twoCellAnchor>
  <xdr:twoCellAnchor>
    <xdr:from>
      <xdr:col>7</xdr:col>
      <xdr:colOff>162684</xdr:colOff>
      <xdr:row>0</xdr:row>
      <xdr:rowOff>132145</xdr:rowOff>
    </xdr:from>
    <xdr:to>
      <xdr:col>7</xdr:col>
      <xdr:colOff>1448745</xdr:colOff>
      <xdr:row>2</xdr:row>
      <xdr:rowOff>78805</xdr:rowOff>
    </xdr:to>
    <xdr:sp macro="[0]!VersCommande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D067AC0B-577F-4E4F-9EA5-1A80300855C1}"/>
            </a:ext>
          </a:extLst>
        </xdr:cNvPr>
        <xdr:cNvSpPr/>
      </xdr:nvSpPr>
      <xdr:spPr>
        <a:xfrm>
          <a:off x="4982334" y="132145"/>
          <a:ext cx="1286061" cy="40386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ysClr val="windowText" lastClr="0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Commande</a:t>
          </a:r>
        </a:p>
      </xdr:txBody>
    </xdr:sp>
    <xdr:clientData/>
  </xdr:twoCellAnchor>
  <xdr:twoCellAnchor>
    <xdr:from>
      <xdr:col>7</xdr:col>
      <xdr:colOff>1638546</xdr:colOff>
      <xdr:row>0</xdr:row>
      <xdr:rowOff>113095</xdr:rowOff>
    </xdr:from>
    <xdr:to>
      <xdr:col>8</xdr:col>
      <xdr:colOff>529105</xdr:colOff>
      <xdr:row>2</xdr:row>
      <xdr:rowOff>59755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46F0ED14-94BE-43B3-AA4F-0BF001E8F76A}"/>
            </a:ext>
          </a:extLst>
        </xdr:cNvPr>
        <xdr:cNvSpPr/>
      </xdr:nvSpPr>
      <xdr:spPr>
        <a:xfrm>
          <a:off x="6458196" y="113095"/>
          <a:ext cx="900334" cy="403860"/>
        </a:xfrm>
        <a:prstGeom prst="roundRect">
          <a:avLst/>
        </a:prstGeom>
        <a:solidFill>
          <a:srgbClr val="EDF3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3C41CD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Livraison</a:t>
          </a:r>
        </a:p>
      </xdr:txBody>
    </xdr:sp>
    <xdr:clientData/>
  </xdr:twoCellAnchor>
  <xdr:twoCellAnchor>
    <xdr:from>
      <xdr:col>8</xdr:col>
      <xdr:colOff>640282</xdr:colOff>
      <xdr:row>0</xdr:row>
      <xdr:rowOff>122620</xdr:rowOff>
    </xdr:from>
    <xdr:to>
      <xdr:col>9</xdr:col>
      <xdr:colOff>428625</xdr:colOff>
      <xdr:row>2</xdr:row>
      <xdr:rowOff>69280</xdr:rowOff>
    </xdr:to>
    <xdr:sp macro="[0]!VersFacture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C1806F0-4DDA-41C9-B2CC-16E17FEEDA54}"/>
            </a:ext>
          </a:extLst>
        </xdr:cNvPr>
        <xdr:cNvSpPr/>
      </xdr:nvSpPr>
      <xdr:spPr>
        <a:xfrm>
          <a:off x="7469707" y="122620"/>
          <a:ext cx="1036118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Facture</a:t>
          </a:r>
        </a:p>
      </xdr:txBody>
    </xdr:sp>
    <xdr:clientData/>
  </xdr:twoCellAnchor>
  <xdr:twoCellAnchor editAs="oneCell">
    <xdr:from>
      <xdr:col>4</xdr:col>
      <xdr:colOff>324124</xdr:colOff>
      <xdr:row>0</xdr:row>
      <xdr:rowOff>117181</xdr:rowOff>
    </xdr:from>
    <xdr:to>
      <xdr:col>4</xdr:col>
      <xdr:colOff>704850</xdr:colOff>
      <xdr:row>2</xdr:row>
      <xdr:rowOff>76201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20AB55E-3475-4C8F-8C95-43A6B90BC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67249" y="117181"/>
          <a:ext cx="380726" cy="416220"/>
        </a:xfrm>
        <a:prstGeom prst="rect">
          <a:avLst/>
        </a:prstGeom>
      </xdr:spPr>
    </xdr:pic>
    <xdr:clientData/>
  </xdr:twoCellAnchor>
  <xdr:twoCellAnchor>
    <xdr:from>
      <xdr:col>2</xdr:col>
      <xdr:colOff>205740</xdr:colOff>
      <xdr:row>0</xdr:row>
      <xdr:rowOff>170245</xdr:rowOff>
    </xdr:from>
    <xdr:to>
      <xdr:col>4</xdr:col>
      <xdr:colOff>868680</xdr:colOff>
      <xdr:row>2</xdr:row>
      <xdr:rowOff>116905</xdr:rowOff>
    </xdr:to>
    <xdr:sp macro="" textlink="Devis!$E$9:$F$9">
      <xdr:nvSpPr>
        <xdr:cNvPr id="9" name="Rectangle : coins arrondis 8">
          <a:extLst>
            <a:ext uri="{FF2B5EF4-FFF2-40B4-BE49-F238E27FC236}">
              <a16:creationId xmlns:a16="http://schemas.microsoft.com/office/drawing/2014/main" id="{747A67F8-7E46-4261-A7E4-4B61A3661911}"/>
            </a:ext>
          </a:extLst>
        </xdr:cNvPr>
        <xdr:cNvSpPr/>
      </xdr:nvSpPr>
      <xdr:spPr>
        <a:xfrm>
          <a:off x="1729740" y="170245"/>
          <a:ext cx="1282065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22A6679-6174-424D-AD7B-6F569D79D8D7}" type="TxLink">
            <a:rPr lang="en-US" sz="1100" b="0" i="0" u="none" strike="noStrike">
              <a:solidFill>
                <a:srgbClr val="000000"/>
              </a:solidFill>
              <a:latin typeface="Calibri"/>
              <a:ea typeface="Open Sans SemiBold" panose="020B0706030804020204" pitchFamily="34" charset="0"/>
              <a:cs typeface="Calibri"/>
            </a:rPr>
            <a:pPr algn="ctr"/>
            <a:t> </a:t>
          </a:fld>
          <a:endParaRPr lang="fr-FR" sz="1400" b="0">
            <a:solidFill>
              <a:srgbClr val="131524"/>
            </a:solidFill>
            <a:latin typeface="Open Sans SemiBold" panose="020B0706030804020204" pitchFamily="34" charset="0"/>
            <a:ea typeface="Open Sans SemiBold" panose="020B0706030804020204" pitchFamily="34" charset="0"/>
            <a:cs typeface="Open Sans SemiBold" panose="020B0706030804020204" pitchFamily="34" charset="0"/>
          </a:endParaRPr>
        </a:p>
      </xdr:txBody>
    </xdr:sp>
    <xdr:clientData/>
  </xdr:twoCellAnchor>
  <xdr:twoCellAnchor>
    <xdr:from>
      <xdr:col>2</xdr:col>
      <xdr:colOff>228598</xdr:colOff>
      <xdr:row>5</xdr:row>
      <xdr:rowOff>151194</xdr:rowOff>
    </xdr:from>
    <xdr:to>
      <xdr:col>7</xdr:col>
      <xdr:colOff>1733549</xdr:colOff>
      <xdr:row>9</xdr:row>
      <xdr:rowOff>133349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4EB4E14F-B1D9-40E2-BA98-A6E4199CF1B0}"/>
            </a:ext>
          </a:extLst>
        </xdr:cNvPr>
        <xdr:cNvSpPr/>
      </xdr:nvSpPr>
      <xdr:spPr>
        <a:xfrm>
          <a:off x="1752598" y="1179894"/>
          <a:ext cx="4800601" cy="82035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 b="0">
              <a:solidFill>
                <a:srgbClr val="C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BON DE LIVRAISON</a:t>
          </a:r>
          <a:endParaRPr lang="fr-FR" sz="4000" b="0">
            <a:solidFill>
              <a:srgbClr val="C00000"/>
            </a:solidFill>
            <a:latin typeface="Open Sans SemiBold" panose="020B0706030804020204" pitchFamily="34" charset="0"/>
            <a:ea typeface="Open Sans SemiBold" panose="020B0706030804020204" pitchFamily="34" charset="0"/>
            <a:cs typeface="Open Sans SemiBold" panose="020B0706030804020204" pitchFamily="34" charset="0"/>
          </a:endParaRPr>
        </a:p>
      </xdr:txBody>
    </xdr:sp>
    <xdr:clientData/>
  </xdr:twoCellAnchor>
  <xdr:twoCellAnchor>
    <xdr:from>
      <xdr:col>3</xdr:col>
      <xdr:colOff>342900</xdr:colOff>
      <xdr:row>49</xdr:row>
      <xdr:rowOff>66171</xdr:rowOff>
    </xdr:from>
    <xdr:to>
      <xdr:col>12</xdr:col>
      <xdr:colOff>38100</xdr:colOff>
      <xdr:row>49</xdr:row>
      <xdr:rowOff>66675</xdr:rowOff>
    </xdr:to>
    <xdr:cxnSp macro="">
      <xdr:nvCxnSpPr>
        <xdr:cNvPr id="13" name="Connecteur droit 12">
          <a:extLst>
            <a:ext uri="{FF2B5EF4-FFF2-40B4-BE49-F238E27FC236}">
              <a16:creationId xmlns:a16="http://schemas.microsoft.com/office/drawing/2014/main" id="{A80A4F61-7424-47F9-B452-C40974E7607B}"/>
            </a:ext>
          </a:extLst>
        </xdr:cNvPr>
        <xdr:cNvCxnSpPr/>
      </xdr:nvCxnSpPr>
      <xdr:spPr>
        <a:xfrm>
          <a:off x="2114550" y="9705471"/>
          <a:ext cx="7924800" cy="504"/>
        </a:xfrm>
        <a:prstGeom prst="line">
          <a:avLst/>
        </a:prstGeom>
        <a:ln w="38100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123824</xdr:colOff>
      <xdr:row>10</xdr:row>
      <xdr:rowOff>166687</xdr:rowOff>
    </xdr:from>
    <xdr:to>
      <xdr:col>16</xdr:col>
      <xdr:colOff>274724</xdr:colOff>
      <xdr:row>12</xdr:row>
      <xdr:rowOff>145687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800CE4A2-DB70-4A72-8178-66AF3C405682}"/>
            </a:ext>
          </a:extLst>
        </xdr:cNvPr>
        <xdr:cNvGrpSpPr/>
      </xdr:nvGrpSpPr>
      <xdr:grpSpPr>
        <a:xfrm>
          <a:off x="11220449" y="2243137"/>
          <a:ext cx="1674900" cy="360000"/>
          <a:chOff x="10877549" y="2185987"/>
          <a:chExt cx="1332000" cy="360000"/>
        </a:xfrm>
        <a:solidFill>
          <a:schemeClr val="bg1">
            <a:lumMod val="65000"/>
          </a:schemeClr>
        </a:solidFill>
      </xdr:grpSpPr>
      <xdr:sp macro="[0]!annuler_livraison" textlink="">
        <xdr:nvSpPr>
          <xdr:cNvPr id="15" name="Rectangle : coins arrondis 14">
            <a:extLst>
              <a:ext uri="{FF2B5EF4-FFF2-40B4-BE49-F238E27FC236}">
                <a16:creationId xmlns:a16="http://schemas.microsoft.com/office/drawing/2014/main" id="{66274238-BFBA-4492-A6A7-7B98E7BBCBAC}"/>
              </a:ext>
            </a:extLst>
          </xdr:cNvPr>
          <xdr:cNvSpPr/>
        </xdr:nvSpPr>
        <xdr:spPr>
          <a:xfrm>
            <a:off x="10877549" y="2185987"/>
            <a:ext cx="1332000" cy="360000"/>
          </a:xfrm>
          <a:prstGeom prst="roundRect">
            <a:avLst/>
          </a:prstGeom>
          <a:grpFill/>
          <a:ln>
            <a:noFill/>
          </a:ln>
          <a:effectLst>
            <a:glow rad="38100">
              <a:srgbClr val="DEDEEA">
                <a:alpha val="30980"/>
              </a:srgbClr>
            </a:glo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bg1"/>
                </a:solidFill>
                <a:latin typeface="Arial" panose="020B0604020202020204" pitchFamily="34" charset="0"/>
                <a:ea typeface="Open Sans SemiBold" panose="020B0706030804020204" pitchFamily="34" charset="0"/>
                <a:cs typeface="Arial" panose="020B0604020202020204" pitchFamily="34" charset="0"/>
              </a:rPr>
              <a:t>Annuler</a:t>
            </a:r>
          </a:p>
        </xdr:txBody>
      </xdr:sp>
      <xdr:pic macro="[0]!annuler_devis">
        <xdr:nvPicPr>
          <xdr:cNvPr id="16" name="Image 15">
            <a:extLst>
              <a:ext uri="{FF2B5EF4-FFF2-40B4-BE49-F238E27FC236}">
                <a16:creationId xmlns:a16="http://schemas.microsoft.com/office/drawing/2014/main" id="{FB6AD8FC-4FC3-4204-8BCE-C9EACA721B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51351" y="2280000"/>
            <a:ext cx="192899" cy="192899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14</xdr:col>
      <xdr:colOff>123824</xdr:colOff>
      <xdr:row>13</xdr:row>
      <xdr:rowOff>57150</xdr:rowOff>
    </xdr:from>
    <xdr:to>
      <xdr:col>16</xdr:col>
      <xdr:colOff>274724</xdr:colOff>
      <xdr:row>14</xdr:row>
      <xdr:rowOff>150450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42AD6675-A14F-441C-BDB3-0EEE9568C271}"/>
            </a:ext>
          </a:extLst>
        </xdr:cNvPr>
        <xdr:cNvGrpSpPr/>
      </xdr:nvGrpSpPr>
      <xdr:grpSpPr>
        <a:xfrm>
          <a:off x="11220449" y="2781300"/>
          <a:ext cx="1674900" cy="302850"/>
          <a:chOff x="10877549" y="2724150"/>
          <a:chExt cx="1332000" cy="360000"/>
        </a:xfrm>
      </xdr:grpSpPr>
      <xdr:sp macro="[0]!livraison_imprimer" textlink="">
        <xdr:nvSpPr>
          <xdr:cNvPr id="18" name="Rectangle : coins arrondis 17">
            <a:extLst>
              <a:ext uri="{FF2B5EF4-FFF2-40B4-BE49-F238E27FC236}">
                <a16:creationId xmlns:a16="http://schemas.microsoft.com/office/drawing/2014/main" id="{542F228F-1829-4C72-90C5-A1D6C602AA2D}"/>
              </a:ext>
            </a:extLst>
          </xdr:cNvPr>
          <xdr:cNvSpPr/>
        </xdr:nvSpPr>
        <xdr:spPr>
          <a:xfrm>
            <a:off x="10877549" y="2724150"/>
            <a:ext cx="1332000" cy="360000"/>
          </a:xfrm>
          <a:prstGeom prst="roundRect">
            <a:avLst/>
          </a:prstGeom>
          <a:solidFill>
            <a:srgbClr val="C00000"/>
          </a:solidFill>
          <a:ln>
            <a:noFill/>
          </a:ln>
          <a:effectLst>
            <a:glow rad="38100">
              <a:srgbClr val="DEDEEA">
                <a:alpha val="30980"/>
              </a:srgbClr>
            </a:glo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bg1"/>
                </a:solidFill>
                <a:latin typeface="Arial" panose="020B0604020202020204" pitchFamily="34" charset="0"/>
                <a:ea typeface="Open Sans SemiBold" panose="020B0706030804020204" pitchFamily="34" charset="0"/>
                <a:cs typeface="Arial" panose="020B0604020202020204" pitchFamily="34" charset="0"/>
              </a:rPr>
              <a:t>Imprimer</a:t>
            </a:r>
          </a:p>
        </xdr:txBody>
      </xdr:sp>
      <xdr:pic macro="[0]!livraison_imprimer">
        <xdr:nvPicPr>
          <xdr:cNvPr id="19" name="Image 18">
            <a:extLst>
              <a:ext uri="{FF2B5EF4-FFF2-40B4-BE49-F238E27FC236}">
                <a16:creationId xmlns:a16="http://schemas.microsoft.com/office/drawing/2014/main" id="{D9C9B30C-2272-4645-B9D5-3D0F9A4C4B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51351" y="2819325"/>
            <a:ext cx="185774" cy="185774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123824</xdr:colOff>
      <xdr:row>8</xdr:row>
      <xdr:rowOff>66674</xdr:rowOff>
    </xdr:from>
    <xdr:to>
      <xdr:col>16</xdr:col>
      <xdr:colOff>274724</xdr:colOff>
      <xdr:row>9</xdr:row>
      <xdr:rowOff>188549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FE85617B-C03C-422C-BABD-5826A9E4C40F}"/>
            </a:ext>
          </a:extLst>
        </xdr:cNvPr>
        <xdr:cNvGrpSpPr/>
      </xdr:nvGrpSpPr>
      <xdr:grpSpPr>
        <a:xfrm>
          <a:off x="11220449" y="1704974"/>
          <a:ext cx="1674900" cy="350475"/>
          <a:chOff x="10877549" y="1647824"/>
          <a:chExt cx="1332000" cy="360000"/>
        </a:xfrm>
        <a:solidFill>
          <a:schemeClr val="bg1">
            <a:lumMod val="65000"/>
          </a:schemeClr>
        </a:solidFill>
      </xdr:grpSpPr>
      <xdr:sp macro="[0]!nouvelle_livraison" textlink="">
        <xdr:nvSpPr>
          <xdr:cNvPr id="21" name="Rectangle : coins arrondis 20">
            <a:extLst>
              <a:ext uri="{FF2B5EF4-FFF2-40B4-BE49-F238E27FC236}">
                <a16:creationId xmlns:a16="http://schemas.microsoft.com/office/drawing/2014/main" id="{5E78B36A-FF88-46FB-B5AC-A33E3461A0D9}"/>
              </a:ext>
            </a:extLst>
          </xdr:cNvPr>
          <xdr:cNvSpPr/>
        </xdr:nvSpPr>
        <xdr:spPr>
          <a:xfrm>
            <a:off x="10877549" y="1647824"/>
            <a:ext cx="1332000" cy="360000"/>
          </a:xfrm>
          <a:prstGeom prst="roundRect">
            <a:avLst/>
          </a:prstGeom>
          <a:grpFill/>
          <a:ln>
            <a:noFill/>
          </a:ln>
          <a:effectLst>
            <a:glow rad="38100">
              <a:srgbClr val="DEDEEA">
                <a:alpha val="30980"/>
              </a:srgbClr>
            </a:glo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bg1"/>
                </a:solidFill>
                <a:latin typeface="Arial" panose="020B0604020202020204" pitchFamily="34" charset="0"/>
                <a:ea typeface="Open Sans SemiBold" panose="020B0706030804020204" pitchFamily="34" charset="0"/>
                <a:cs typeface="Arial" panose="020B0604020202020204" pitchFamily="34" charset="0"/>
              </a:rPr>
              <a:t>Nouveau</a:t>
            </a:r>
          </a:p>
        </xdr:txBody>
      </xdr:sp>
      <xdr:pic macro="[0]!nouveau_devis">
        <xdr:nvPicPr>
          <xdr:cNvPr id="22" name="Image 21">
            <a:extLst>
              <a:ext uri="{FF2B5EF4-FFF2-40B4-BE49-F238E27FC236}">
                <a16:creationId xmlns:a16="http://schemas.microsoft.com/office/drawing/2014/main" id="{781582FE-E321-461A-99E3-2B7974DEA4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51351" y="1752599"/>
            <a:ext cx="190499" cy="190499"/>
          </a:xfrm>
          <a:prstGeom prst="rect">
            <a:avLst/>
          </a:prstGeom>
          <a:grpFill/>
        </xdr:spPr>
      </xdr:pic>
    </xdr:grpSp>
    <xdr:clientData/>
  </xdr:twoCellAnchor>
  <xdr:twoCellAnchor editAs="oneCell">
    <xdr:from>
      <xdr:col>19</xdr:col>
      <xdr:colOff>447675</xdr:colOff>
      <xdr:row>1</xdr:row>
      <xdr:rowOff>56719</xdr:rowOff>
    </xdr:from>
    <xdr:to>
      <xdr:col>19</xdr:col>
      <xdr:colOff>680625</xdr:colOff>
      <xdr:row>2</xdr:row>
      <xdr:rowOff>29114</xdr:rowOff>
    </xdr:to>
    <xdr:pic macro="[0]!VersParams">
      <xdr:nvPicPr>
        <xdr:cNvPr id="24" name="Image 23">
          <a:extLst>
            <a:ext uri="{FF2B5EF4-FFF2-40B4-BE49-F238E27FC236}">
              <a16:creationId xmlns:a16="http://schemas.microsoft.com/office/drawing/2014/main" id="{A90B3400-8EA8-4F03-875D-1A410B479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54300" y="247219"/>
          <a:ext cx="232950" cy="23909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1401</xdr:rowOff>
    </xdr:from>
    <xdr:to>
      <xdr:col>26</xdr:col>
      <xdr:colOff>403860</xdr:colOff>
      <xdr:row>3</xdr:row>
      <xdr:rowOff>1401</xdr:rowOff>
    </xdr:to>
    <xdr:cxnSp macro="">
      <xdr:nvCxnSpPr>
        <xdr:cNvPr id="2" name="Connecteur droit 1">
          <a:extLst>
            <a:ext uri="{FF2B5EF4-FFF2-40B4-BE49-F238E27FC236}">
              <a16:creationId xmlns:a16="http://schemas.microsoft.com/office/drawing/2014/main" id="{AED20164-D959-458D-97BC-660BA8B92BAB}"/>
            </a:ext>
          </a:extLst>
        </xdr:cNvPr>
        <xdr:cNvCxnSpPr/>
      </xdr:nvCxnSpPr>
      <xdr:spPr>
        <a:xfrm>
          <a:off x="0" y="649101"/>
          <a:ext cx="20644485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2038350</xdr:colOff>
      <xdr:row>0</xdr:row>
      <xdr:rowOff>113096</xdr:rowOff>
    </xdr:from>
    <xdr:to>
      <xdr:col>7</xdr:col>
      <xdr:colOff>71641</xdr:colOff>
      <xdr:row>2</xdr:row>
      <xdr:rowOff>59756</xdr:rowOff>
    </xdr:to>
    <xdr:sp macro="[0]!VersDevi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5F1A6B4C-8B39-48B5-A0F1-DD870CBC2710}"/>
            </a:ext>
          </a:extLst>
        </xdr:cNvPr>
        <xdr:cNvSpPr/>
      </xdr:nvSpPr>
      <xdr:spPr>
        <a:xfrm>
          <a:off x="4181475" y="113096"/>
          <a:ext cx="709816" cy="40386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ysClr val="windowText" lastClr="0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Devis</a:t>
          </a:r>
        </a:p>
      </xdr:txBody>
    </xdr:sp>
    <xdr:clientData/>
  </xdr:twoCellAnchor>
  <xdr:twoCellAnchor>
    <xdr:from>
      <xdr:col>7</xdr:col>
      <xdr:colOff>134109</xdr:colOff>
      <xdr:row>0</xdr:row>
      <xdr:rowOff>108333</xdr:rowOff>
    </xdr:from>
    <xdr:to>
      <xdr:col>7</xdr:col>
      <xdr:colOff>1420170</xdr:colOff>
      <xdr:row>2</xdr:row>
      <xdr:rowOff>54993</xdr:rowOff>
    </xdr:to>
    <xdr:sp macro="[0]!VersCommande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83198CE0-EC09-4737-BC83-39703B102E79}"/>
            </a:ext>
          </a:extLst>
        </xdr:cNvPr>
        <xdr:cNvSpPr/>
      </xdr:nvSpPr>
      <xdr:spPr>
        <a:xfrm>
          <a:off x="4953759" y="108333"/>
          <a:ext cx="1286061" cy="40386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ysClr val="windowText" lastClr="0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Commande</a:t>
          </a:r>
        </a:p>
      </xdr:txBody>
    </xdr:sp>
    <xdr:clientData/>
  </xdr:twoCellAnchor>
  <xdr:twoCellAnchor>
    <xdr:from>
      <xdr:col>7</xdr:col>
      <xdr:colOff>1600446</xdr:colOff>
      <xdr:row>0</xdr:row>
      <xdr:rowOff>103570</xdr:rowOff>
    </xdr:from>
    <xdr:to>
      <xdr:col>8</xdr:col>
      <xdr:colOff>491005</xdr:colOff>
      <xdr:row>2</xdr:row>
      <xdr:rowOff>50230</xdr:rowOff>
    </xdr:to>
    <xdr:sp macro="[0]!VersLivraison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706672D6-2DDD-4BD1-8448-77A296A6FC25}"/>
            </a:ext>
          </a:extLst>
        </xdr:cNvPr>
        <xdr:cNvSpPr/>
      </xdr:nvSpPr>
      <xdr:spPr>
        <a:xfrm>
          <a:off x="6420096" y="103570"/>
          <a:ext cx="900334" cy="40386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ysClr val="windowText" lastClr="0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Livraison</a:t>
          </a:r>
        </a:p>
      </xdr:txBody>
    </xdr:sp>
    <xdr:clientData/>
  </xdr:twoCellAnchor>
  <xdr:twoCellAnchor>
    <xdr:from>
      <xdr:col>8</xdr:col>
      <xdr:colOff>678382</xdr:colOff>
      <xdr:row>0</xdr:row>
      <xdr:rowOff>122620</xdr:rowOff>
    </xdr:from>
    <xdr:to>
      <xdr:col>9</xdr:col>
      <xdr:colOff>466725</xdr:colOff>
      <xdr:row>2</xdr:row>
      <xdr:rowOff>69280</xdr:rowOff>
    </xdr:to>
    <xdr:sp macro="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C49A2CFA-6844-4389-AEA8-3742CF1195CB}"/>
            </a:ext>
          </a:extLst>
        </xdr:cNvPr>
        <xdr:cNvSpPr/>
      </xdr:nvSpPr>
      <xdr:spPr>
        <a:xfrm>
          <a:off x="7507807" y="122620"/>
          <a:ext cx="1036118" cy="403860"/>
        </a:xfrm>
        <a:prstGeom prst="roundRect">
          <a:avLst/>
        </a:prstGeom>
        <a:solidFill>
          <a:srgbClr val="EDF3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3C41CD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Facture</a:t>
          </a:r>
        </a:p>
      </xdr:txBody>
    </xdr:sp>
    <xdr:clientData/>
  </xdr:twoCellAnchor>
  <xdr:twoCellAnchor editAs="oneCell">
    <xdr:from>
      <xdr:col>4</xdr:col>
      <xdr:colOff>324124</xdr:colOff>
      <xdr:row>0</xdr:row>
      <xdr:rowOff>117181</xdr:rowOff>
    </xdr:from>
    <xdr:to>
      <xdr:col>4</xdr:col>
      <xdr:colOff>704850</xdr:colOff>
      <xdr:row>2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CC272686-E9CF-4D5D-AC8C-150C02B53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67249" y="117181"/>
          <a:ext cx="380726" cy="387644"/>
        </a:xfrm>
        <a:prstGeom prst="rect">
          <a:avLst/>
        </a:prstGeom>
      </xdr:spPr>
    </xdr:pic>
    <xdr:clientData/>
  </xdr:twoCellAnchor>
  <xdr:twoCellAnchor>
    <xdr:from>
      <xdr:col>2</xdr:col>
      <xdr:colOff>205740</xdr:colOff>
      <xdr:row>0</xdr:row>
      <xdr:rowOff>170245</xdr:rowOff>
    </xdr:from>
    <xdr:to>
      <xdr:col>4</xdr:col>
      <xdr:colOff>868680</xdr:colOff>
      <xdr:row>2</xdr:row>
      <xdr:rowOff>116905</xdr:rowOff>
    </xdr:to>
    <xdr:sp macro="" textlink="Devis!$E$9:$F$9">
      <xdr:nvSpPr>
        <xdr:cNvPr id="9" name="Rectangle : coins arrondis 8">
          <a:extLst>
            <a:ext uri="{FF2B5EF4-FFF2-40B4-BE49-F238E27FC236}">
              <a16:creationId xmlns:a16="http://schemas.microsoft.com/office/drawing/2014/main" id="{AD680AA7-032B-4BAD-BAFD-906126CF8C3B}"/>
            </a:ext>
          </a:extLst>
        </xdr:cNvPr>
        <xdr:cNvSpPr/>
      </xdr:nvSpPr>
      <xdr:spPr>
        <a:xfrm>
          <a:off x="1729740" y="170245"/>
          <a:ext cx="1282065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22A6679-6174-424D-AD7B-6F569D79D8D7}" type="TxLink">
            <a:rPr lang="en-US" sz="1100" b="0" i="0" u="none" strike="noStrike">
              <a:solidFill>
                <a:srgbClr val="000000"/>
              </a:solidFill>
              <a:latin typeface="Calibri"/>
              <a:ea typeface="Open Sans SemiBold" panose="020B0706030804020204" pitchFamily="34" charset="0"/>
              <a:cs typeface="Calibri"/>
            </a:rPr>
            <a:pPr algn="ctr"/>
            <a:t> </a:t>
          </a:fld>
          <a:endParaRPr lang="fr-FR" sz="1400" b="0">
            <a:solidFill>
              <a:srgbClr val="131524"/>
            </a:solidFill>
            <a:latin typeface="Open Sans SemiBold" panose="020B0706030804020204" pitchFamily="34" charset="0"/>
            <a:ea typeface="Open Sans SemiBold" panose="020B0706030804020204" pitchFamily="34" charset="0"/>
            <a:cs typeface="Open Sans SemiBold" panose="020B0706030804020204" pitchFamily="34" charset="0"/>
          </a:endParaRPr>
        </a:p>
      </xdr:txBody>
    </xdr:sp>
    <xdr:clientData/>
  </xdr:twoCellAnchor>
  <xdr:twoCellAnchor>
    <xdr:from>
      <xdr:col>2</xdr:col>
      <xdr:colOff>247649</xdr:colOff>
      <xdr:row>7</xdr:row>
      <xdr:rowOff>151194</xdr:rowOff>
    </xdr:from>
    <xdr:to>
      <xdr:col>5</xdr:col>
      <xdr:colOff>676274</xdr:colOff>
      <xdr:row>11</xdr:row>
      <xdr:rowOff>133349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7C64B6EF-6499-45B2-BA48-15305990B459}"/>
            </a:ext>
          </a:extLst>
        </xdr:cNvPr>
        <xdr:cNvSpPr/>
      </xdr:nvSpPr>
      <xdr:spPr>
        <a:xfrm>
          <a:off x="1771649" y="1179894"/>
          <a:ext cx="3048000" cy="82035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 b="0">
              <a:solidFill>
                <a:srgbClr val="C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FACTURE</a:t>
          </a:r>
          <a:endParaRPr lang="fr-FR" sz="4000" b="0">
            <a:solidFill>
              <a:srgbClr val="C00000"/>
            </a:solidFill>
            <a:latin typeface="Open Sans SemiBold" panose="020B0706030804020204" pitchFamily="34" charset="0"/>
            <a:ea typeface="Open Sans SemiBold" panose="020B0706030804020204" pitchFamily="34" charset="0"/>
            <a:cs typeface="Open Sans SemiBold" panose="020B0706030804020204" pitchFamily="34" charset="0"/>
          </a:endParaRPr>
        </a:p>
      </xdr:txBody>
    </xdr:sp>
    <xdr:clientData/>
  </xdr:twoCellAnchor>
  <xdr:twoCellAnchor>
    <xdr:from>
      <xdr:col>3</xdr:col>
      <xdr:colOff>342900</xdr:colOff>
      <xdr:row>51</xdr:row>
      <xdr:rowOff>66171</xdr:rowOff>
    </xdr:from>
    <xdr:to>
      <xdr:col>12</xdr:col>
      <xdr:colOff>38100</xdr:colOff>
      <xdr:row>51</xdr:row>
      <xdr:rowOff>66675</xdr:rowOff>
    </xdr:to>
    <xdr:cxnSp macro="">
      <xdr:nvCxnSpPr>
        <xdr:cNvPr id="13" name="Connecteur droit 12">
          <a:extLst>
            <a:ext uri="{FF2B5EF4-FFF2-40B4-BE49-F238E27FC236}">
              <a16:creationId xmlns:a16="http://schemas.microsoft.com/office/drawing/2014/main" id="{5761DC38-5D8C-4064-A89B-F4A388CF4273}"/>
            </a:ext>
          </a:extLst>
        </xdr:cNvPr>
        <xdr:cNvCxnSpPr/>
      </xdr:nvCxnSpPr>
      <xdr:spPr>
        <a:xfrm>
          <a:off x="2114550" y="9705471"/>
          <a:ext cx="7924800" cy="504"/>
        </a:xfrm>
        <a:prstGeom prst="line">
          <a:avLst/>
        </a:prstGeom>
        <a:ln w="38100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123824</xdr:colOff>
      <xdr:row>12</xdr:row>
      <xdr:rowOff>166687</xdr:rowOff>
    </xdr:from>
    <xdr:to>
      <xdr:col>16</xdr:col>
      <xdr:colOff>274724</xdr:colOff>
      <xdr:row>14</xdr:row>
      <xdr:rowOff>145687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1D359CB9-2915-43F3-BE9A-FB153DE83253}"/>
            </a:ext>
          </a:extLst>
        </xdr:cNvPr>
        <xdr:cNvGrpSpPr/>
      </xdr:nvGrpSpPr>
      <xdr:grpSpPr>
        <a:xfrm>
          <a:off x="11220449" y="2624137"/>
          <a:ext cx="1674900" cy="360000"/>
          <a:chOff x="10877549" y="2185987"/>
          <a:chExt cx="1332000" cy="360000"/>
        </a:xfrm>
        <a:solidFill>
          <a:schemeClr val="bg1">
            <a:lumMod val="65000"/>
          </a:schemeClr>
        </a:solidFill>
      </xdr:grpSpPr>
      <xdr:sp macro="[0]!annuler_facture" textlink="">
        <xdr:nvSpPr>
          <xdr:cNvPr id="15" name="Rectangle : coins arrondis 14">
            <a:extLst>
              <a:ext uri="{FF2B5EF4-FFF2-40B4-BE49-F238E27FC236}">
                <a16:creationId xmlns:a16="http://schemas.microsoft.com/office/drawing/2014/main" id="{843906E0-332C-453B-9B8A-7B37DB460438}"/>
              </a:ext>
            </a:extLst>
          </xdr:cNvPr>
          <xdr:cNvSpPr/>
        </xdr:nvSpPr>
        <xdr:spPr>
          <a:xfrm>
            <a:off x="10877549" y="2185987"/>
            <a:ext cx="1332000" cy="360000"/>
          </a:xfrm>
          <a:prstGeom prst="roundRect">
            <a:avLst/>
          </a:prstGeom>
          <a:grpFill/>
          <a:ln>
            <a:noFill/>
          </a:ln>
          <a:effectLst>
            <a:glow rad="38100">
              <a:srgbClr val="DEDEEA">
                <a:alpha val="30980"/>
              </a:srgbClr>
            </a:glo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bg1"/>
                </a:solidFill>
                <a:latin typeface="Arial" panose="020B0604020202020204" pitchFamily="34" charset="0"/>
                <a:ea typeface="Open Sans SemiBold" panose="020B0706030804020204" pitchFamily="34" charset="0"/>
                <a:cs typeface="Arial" panose="020B0604020202020204" pitchFamily="34" charset="0"/>
              </a:rPr>
              <a:t>Annuler</a:t>
            </a:r>
          </a:p>
        </xdr:txBody>
      </xdr:sp>
      <xdr:pic macro="[0]!annuler_facture">
        <xdr:nvPicPr>
          <xdr:cNvPr id="16" name="Image 15">
            <a:extLst>
              <a:ext uri="{FF2B5EF4-FFF2-40B4-BE49-F238E27FC236}">
                <a16:creationId xmlns:a16="http://schemas.microsoft.com/office/drawing/2014/main" id="{6964A656-CE46-4D9E-8008-1DDA935781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51351" y="2280000"/>
            <a:ext cx="192899" cy="192899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14</xdr:col>
      <xdr:colOff>123824</xdr:colOff>
      <xdr:row>15</xdr:row>
      <xdr:rowOff>57150</xdr:rowOff>
    </xdr:from>
    <xdr:to>
      <xdr:col>16</xdr:col>
      <xdr:colOff>274724</xdr:colOff>
      <xdr:row>16</xdr:row>
      <xdr:rowOff>150450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36F53889-73D1-4796-87B5-5B6894E6A1C8}"/>
            </a:ext>
          </a:extLst>
        </xdr:cNvPr>
        <xdr:cNvGrpSpPr/>
      </xdr:nvGrpSpPr>
      <xdr:grpSpPr>
        <a:xfrm>
          <a:off x="11220449" y="3162300"/>
          <a:ext cx="1674900" cy="302850"/>
          <a:chOff x="10877549" y="2724150"/>
          <a:chExt cx="1332000" cy="360000"/>
        </a:xfrm>
      </xdr:grpSpPr>
      <xdr:sp macro="[0]!facture_enregistrer" textlink="">
        <xdr:nvSpPr>
          <xdr:cNvPr id="18" name="Rectangle : coins arrondis 17">
            <a:extLst>
              <a:ext uri="{FF2B5EF4-FFF2-40B4-BE49-F238E27FC236}">
                <a16:creationId xmlns:a16="http://schemas.microsoft.com/office/drawing/2014/main" id="{DAA518D9-BE26-4ED5-9347-3D85815D45C2}"/>
              </a:ext>
            </a:extLst>
          </xdr:cNvPr>
          <xdr:cNvSpPr/>
        </xdr:nvSpPr>
        <xdr:spPr>
          <a:xfrm>
            <a:off x="10877549" y="2724150"/>
            <a:ext cx="1332000" cy="360000"/>
          </a:xfrm>
          <a:prstGeom prst="roundRect">
            <a:avLst/>
          </a:prstGeom>
          <a:solidFill>
            <a:srgbClr val="C00000"/>
          </a:solidFill>
          <a:ln>
            <a:noFill/>
          </a:ln>
          <a:effectLst>
            <a:glow rad="38100">
              <a:srgbClr val="DEDEEA">
                <a:alpha val="30980"/>
              </a:srgbClr>
            </a:glo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bg1"/>
                </a:solidFill>
                <a:latin typeface="Arial" panose="020B0604020202020204" pitchFamily="34" charset="0"/>
                <a:ea typeface="Open Sans SemiBold" panose="020B0706030804020204" pitchFamily="34" charset="0"/>
                <a:cs typeface="Arial" panose="020B0604020202020204" pitchFamily="34" charset="0"/>
              </a:rPr>
              <a:t>Enregistrer</a:t>
            </a:r>
          </a:p>
        </xdr:txBody>
      </xdr:sp>
      <xdr:pic macro="[0]!facture_enregistrer">
        <xdr:nvPicPr>
          <xdr:cNvPr id="19" name="Image 18">
            <a:extLst>
              <a:ext uri="{FF2B5EF4-FFF2-40B4-BE49-F238E27FC236}">
                <a16:creationId xmlns:a16="http://schemas.microsoft.com/office/drawing/2014/main" id="{415CA24C-90DA-4BA7-87D4-0FF1C9EB8E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51351" y="2819325"/>
            <a:ext cx="185774" cy="185774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142874</xdr:colOff>
      <xdr:row>10</xdr:row>
      <xdr:rowOff>57149</xdr:rowOff>
    </xdr:from>
    <xdr:to>
      <xdr:col>16</xdr:col>
      <xdr:colOff>293774</xdr:colOff>
      <xdr:row>11</xdr:row>
      <xdr:rowOff>179024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54373FC5-494A-487E-9B74-47B137E74E3B}"/>
            </a:ext>
          </a:extLst>
        </xdr:cNvPr>
        <xdr:cNvGrpSpPr/>
      </xdr:nvGrpSpPr>
      <xdr:grpSpPr>
        <a:xfrm>
          <a:off x="11239499" y="2076449"/>
          <a:ext cx="1674900" cy="350475"/>
          <a:chOff x="10877549" y="1647824"/>
          <a:chExt cx="1332000" cy="360000"/>
        </a:xfrm>
        <a:solidFill>
          <a:schemeClr val="bg1">
            <a:lumMod val="65000"/>
          </a:schemeClr>
        </a:solidFill>
      </xdr:grpSpPr>
      <xdr:sp macro="[0]!nouvelle_facture" textlink="">
        <xdr:nvSpPr>
          <xdr:cNvPr id="21" name="Rectangle : coins arrondis 20">
            <a:extLst>
              <a:ext uri="{FF2B5EF4-FFF2-40B4-BE49-F238E27FC236}">
                <a16:creationId xmlns:a16="http://schemas.microsoft.com/office/drawing/2014/main" id="{CF3D77CE-E014-4A7A-BC26-FF9755147468}"/>
              </a:ext>
            </a:extLst>
          </xdr:cNvPr>
          <xdr:cNvSpPr/>
        </xdr:nvSpPr>
        <xdr:spPr>
          <a:xfrm>
            <a:off x="10877549" y="1647824"/>
            <a:ext cx="1332000" cy="360000"/>
          </a:xfrm>
          <a:prstGeom prst="roundRect">
            <a:avLst/>
          </a:prstGeom>
          <a:grpFill/>
          <a:ln>
            <a:noFill/>
          </a:ln>
          <a:effectLst>
            <a:glow rad="38100">
              <a:srgbClr val="DEDEEA">
                <a:alpha val="30980"/>
              </a:srgbClr>
            </a:glo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bg1"/>
                </a:solidFill>
                <a:latin typeface="Arial" panose="020B0604020202020204" pitchFamily="34" charset="0"/>
                <a:ea typeface="Open Sans SemiBold" panose="020B0706030804020204" pitchFamily="34" charset="0"/>
                <a:cs typeface="Arial" panose="020B0604020202020204" pitchFamily="34" charset="0"/>
              </a:rPr>
              <a:t>Nouveau</a:t>
            </a:r>
          </a:p>
        </xdr:txBody>
      </xdr:sp>
      <xdr:pic macro="[0]!nouvelle_facture">
        <xdr:nvPicPr>
          <xdr:cNvPr id="22" name="Image 21">
            <a:extLst>
              <a:ext uri="{FF2B5EF4-FFF2-40B4-BE49-F238E27FC236}">
                <a16:creationId xmlns:a16="http://schemas.microsoft.com/office/drawing/2014/main" id="{AB99A52A-DF84-4936-81FB-423E02AE19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51351" y="1752599"/>
            <a:ext cx="190499" cy="190499"/>
          </a:xfrm>
          <a:prstGeom prst="rect">
            <a:avLst/>
          </a:prstGeom>
          <a:grpFill/>
        </xdr:spPr>
      </xdr:pic>
    </xdr:grpSp>
    <xdr:clientData/>
  </xdr:twoCellAnchor>
  <xdr:twoCellAnchor editAs="oneCell">
    <xdr:from>
      <xdr:col>19</xdr:col>
      <xdr:colOff>428625</xdr:colOff>
      <xdr:row>1</xdr:row>
      <xdr:rowOff>75769</xdr:rowOff>
    </xdr:from>
    <xdr:to>
      <xdr:col>19</xdr:col>
      <xdr:colOff>661575</xdr:colOff>
      <xdr:row>2</xdr:row>
      <xdr:rowOff>48164</xdr:rowOff>
    </xdr:to>
    <xdr:pic macro="[0]!VersParams">
      <xdr:nvPicPr>
        <xdr:cNvPr id="24" name="Image 23">
          <a:extLst>
            <a:ext uri="{FF2B5EF4-FFF2-40B4-BE49-F238E27FC236}">
              <a16:creationId xmlns:a16="http://schemas.microsoft.com/office/drawing/2014/main" id="{B8B84BD7-83DD-44BA-AB6E-894B1E475F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35250" y="266269"/>
          <a:ext cx="232950" cy="239095"/>
        </a:xfrm>
        <a:prstGeom prst="rect">
          <a:avLst/>
        </a:prstGeom>
      </xdr:spPr>
    </xdr:pic>
    <xdr:clientData/>
  </xdr:twoCellAnchor>
  <xdr:twoCellAnchor>
    <xdr:from>
      <xdr:col>2</xdr:col>
      <xdr:colOff>19050</xdr:colOff>
      <xdr:row>6</xdr:row>
      <xdr:rowOff>10926</xdr:rowOff>
    </xdr:from>
    <xdr:to>
      <xdr:col>20</xdr:col>
      <xdr:colOff>400425</xdr:colOff>
      <xdr:row>6</xdr:row>
      <xdr:rowOff>10926</xdr:rowOff>
    </xdr:to>
    <xdr:cxnSp macro="">
      <xdr:nvCxnSpPr>
        <xdr:cNvPr id="25" name="Connecteur droit 24">
          <a:extLst>
            <a:ext uri="{FF2B5EF4-FFF2-40B4-BE49-F238E27FC236}">
              <a16:creationId xmlns:a16="http://schemas.microsoft.com/office/drawing/2014/main" id="{53F7CE1C-809D-4A70-8100-3118268C747F}"/>
            </a:ext>
          </a:extLst>
        </xdr:cNvPr>
        <xdr:cNvCxnSpPr/>
      </xdr:nvCxnSpPr>
      <xdr:spPr>
        <a:xfrm>
          <a:off x="1543050" y="1230126"/>
          <a:ext cx="14526000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552450</xdr:colOff>
      <xdr:row>3</xdr:row>
      <xdr:rowOff>170246</xdr:rowOff>
    </xdr:from>
    <xdr:to>
      <xdr:col>4</xdr:col>
      <xdr:colOff>304866</xdr:colOff>
      <xdr:row>6</xdr:row>
      <xdr:rowOff>2606</xdr:rowOff>
    </xdr:to>
    <xdr:sp macro="" textlink="">
      <xdr:nvSpPr>
        <xdr:cNvPr id="27" name="Rectangle : coins arrondis 26">
          <a:extLst>
            <a:ext uri="{FF2B5EF4-FFF2-40B4-BE49-F238E27FC236}">
              <a16:creationId xmlns:a16="http://schemas.microsoft.com/office/drawing/2014/main" id="{72D09631-9B6C-4CCA-8E71-875A08F273B0}"/>
            </a:ext>
          </a:extLst>
        </xdr:cNvPr>
        <xdr:cNvSpPr/>
      </xdr:nvSpPr>
      <xdr:spPr>
        <a:xfrm>
          <a:off x="1314450" y="817946"/>
          <a:ext cx="1133541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FF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Création</a:t>
          </a:r>
        </a:p>
      </xdr:txBody>
    </xdr:sp>
    <xdr:clientData/>
  </xdr:twoCellAnchor>
  <xdr:twoCellAnchor>
    <xdr:from>
      <xdr:col>4</xdr:col>
      <xdr:colOff>152401</xdr:colOff>
      <xdr:row>3</xdr:row>
      <xdr:rowOff>170246</xdr:rowOff>
    </xdr:from>
    <xdr:to>
      <xdr:col>4</xdr:col>
      <xdr:colOff>1724025</xdr:colOff>
      <xdr:row>6</xdr:row>
      <xdr:rowOff>2606</xdr:rowOff>
    </xdr:to>
    <xdr:sp macro="[0]!VersListeFacture" textlink="">
      <xdr:nvSpPr>
        <xdr:cNvPr id="28" name="Rectangle : coins arrondis 27">
          <a:extLst>
            <a:ext uri="{FF2B5EF4-FFF2-40B4-BE49-F238E27FC236}">
              <a16:creationId xmlns:a16="http://schemas.microsoft.com/office/drawing/2014/main" id="{B95D85C0-75F7-44CA-B430-C550FA8D417E}"/>
            </a:ext>
          </a:extLst>
        </xdr:cNvPr>
        <xdr:cNvSpPr/>
      </xdr:nvSpPr>
      <xdr:spPr>
        <a:xfrm>
          <a:off x="2295526" y="817946"/>
          <a:ext cx="1571624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Liste des factures</a:t>
          </a:r>
        </a:p>
      </xdr:txBody>
    </xdr:sp>
    <xdr:clientData/>
  </xdr:twoCellAnchor>
  <xdr:twoCellAnchor>
    <xdr:from>
      <xdr:col>2</xdr:col>
      <xdr:colOff>9525</xdr:colOff>
      <xdr:row>6</xdr:row>
      <xdr:rowOff>10926</xdr:rowOff>
    </xdr:from>
    <xdr:to>
      <xdr:col>4</xdr:col>
      <xdr:colOff>110400</xdr:colOff>
      <xdr:row>6</xdr:row>
      <xdr:rowOff>10926</xdr:rowOff>
    </xdr:to>
    <xdr:cxnSp macro="">
      <xdr:nvCxnSpPr>
        <xdr:cNvPr id="29" name="Connecteur droit 28">
          <a:extLst>
            <a:ext uri="{FF2B5EF4-FFF2-40B4-BE49-F238E27FC236}">
              <a16:creationId xmlns:a16="http://schemas.microsoft.com/office/drawing/2014/main" id="{9E20048D-350D-462B-A0FF-A0DFDCFAC901}"/>
            </a:ext>
          </a:extLst>
        </xdr:cNvPr>
        <xdr:cNvCxnSpPr/>
      </xdr:nvCxnSpPr>
      <xdr:spPr>
        <a:xfrm>
          <a:off x="1533525" y="1230126"/>
          <a:ext cx="720000" cy="0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91440</xdr:colOff>
      <xdr:row>1</xdr:row>
      <xdr:rowOff>160720</xdr:rowOff>
    </xdr:from>
    <xdr:to>
      <xdr:col>12</xdr:col>
      <xdr:colOff>220980</xdr:colOff>
      <xdr:row>3</xdr:row>
      <xdr:rowOff>107380</xdr:rowOff>
    </xdr:to>
    <xdr:sp macro="" textlink="Devis!$E$9:$F$9">
      <xdr:nvSpPr>
        <xdr:cNvPr id="9" name="Rectangle : coins arrondis 8">
          <a:extLst>
            <a:ext uri="{FF2B5EF4-FFF2-40B4-BE49-F238E27FC236}">
              <a16:creationId xmlns:a16="http://schemas.microsoft.com/office/drawing/2014/main" id="{87666ACC-EEDC-4B06-98EC-2AA36B58CAD0}"/>
            </a:ext>
          </a:extLst>
        </xdr:cNvPr>
        <xdr:cNvSpPr/>
      </xdr:nvSpPr>
      <xdr:spPr>
        <a:xfrm>
          <a:off x="8940165" y="351220"/>
          <a:ext cx="1282065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22A6679-6174-424D-AD7B-6F569D79D8D7}" type="TxLink">
            <a:rPr lang="en-US" sz="1100" b="0" i="0" u="none" strike="noStrike">
              <a:solidFill>
                <a:srgbClr val="000000"/>
              </a:solidFill>
              <a:latin typeface="Calibri"/>
              <a:ea typeface="Open Sans SemiBold" panose="020B0706030804020204" pitchFamily="34" charset="0"/>
              <a:cs typeface="Calibri"/>
            </a:rPr>
            <a:pPr algn="ctr"/>
            <a:t> </a:t>
          </a:fld>
          <a:endParaRPr lang="fr-FR" sz="1400" b="0">
            <a:solidFill>
              <a:srgbClr val="131524"/>
            </a:solidFill>
            <a:latin typeface="Open Sans SemiBold" panose="020B0706030804020204" pitchFamily="34" charset="0"/>
            <a:ea typeface="Open Sans SemiBold" panose="020B0706030804020204" pitchFamily="34" charset="0"/>
            <a:cs typeface="Open Sans SemiBold" panose="020B0706030804020204" pitchFamily="34" charset="0"/>
          </a:endParaRPr>
        </a:p>
      </xdr:txBody>
    </xdr:sp>
    <xdr:clientData/>
  </xdr:twoCellAnchor>
  <xdr:twoCellAnchor>
    <xdr:from>
      <xdr:col>5</xdr:col>
      <xdr:colOff>495300</xdr:colOff>
      <xdr:row>0</xdr:row>
      <xdr:rowOff>81640</xdr:rowOff>
    </xdr:from>
    <xdr:to>
      <xdr:col>5</xdr:col>
      <xdr:colOff>1205116</xdr:colOff>
      <xdr:row>2</xdr:row>
      <xdr:rowOff>28300</xdr:rowOff>
    </xdr:to>
    <xdr:sp macro="[0]!VersDevis" textlink="">
      <xdr:nvSpPr>
        <xdr:cNvPr id="28" name="Rectangle : coins arrondis 27">
          <a:extLst>
            <a:ext uri="{FF2B5EF4-FFF2-40B4-BE49-F238E27FC236}">
              <a16:creationId xmlns:a16="http://schemas.microsoft.com/office/drawing/2014/main" id="{E396AB39-8B15-494E-A153-A5CF7C712CA8}"/>
            </a:ext>
          </a:extLst>
        </xdr:cNvPr>
        <xdr:cNvSpPr/>
      </xdr:nvSpPr>
      <xdr:spPr>
        <a:xfrm>
          <a:off x="4133850" y="81640"/>
          <a:ext cx="709816" cy="40386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ysClr val="windowText" lastClr="0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Devis</a:t>
          </a:r>
        </a:p>
      </xdr:txBody>
    </xdr:sp>
    <xdr:clientData/>
  </xdr:twoCellAnchor>
  <xdr:twoCellAnchor>
    <xdr:from>
      <xdr:col>6</xdr:col>
      <xdr:colOff>38859</xdr:colOff>
      <xdr:row>0</xdr:row>
      <xdr:rowOff>76877</xdr:rowOff>
    </xdr:from>
    <xdr:to>
      <xdr:col>6</xdr:col>
      <xdr:colOff>1324920</xdr:colOff>
      <xdr:row>2</xdr:row>
      <xdr:rowOff>23537</xdr:rowOff>
    </xdr:to>
    <xdr:sp macro="[0]!VersCommande" textlink="">
      <xdr:nvSpPr>
        <xdr:cNvPr id="29" name="Rectangle : coins arrondis 28">
          <a:extLst>
            <a:ext uri="{FF2B5EF4-FFF2-40B4-BE49-F238E27FC236}">
              <a16:creationId xmlns:a16="http://schemas.microsoft.com/office/drawing/2014/main" id="{8ECAA17D-7873-44BC-BFC1-34B06180FFD8}"/>
            </a:ext>
          </a:extLst>
        </xdr:cNvPr>
        <xdr:cNvSpPr/>
      </xdr:nvSpPr>
      <xdr:spPr>
        <a:xfrm>
          <a:off x="4906134" y="76877"/>
          <a:ext cx="1286061" cy="40386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ysClr val="windowText" lastClr="0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Commande</a:t>
          </a:r>
        </a:p>
      </xdr:txBody>
    </xdr:sp>
    <xdr:clientData/>
  </xdr:twoCellAnchor>
  <xdr:twoCellAnchor>
    <xdr:from>
      <xdr:col>6</xdr:col>
      <xdr:colOff>1505196</xdr:colOff>
      <xdr:row>0</xdr:row>
      <xdr:rowOff>72114</xdr:rowOff>
    </xdr:from>
    <xdr:to>
      <xdr:col>7</xdr:col>
      <xdr:colOff>148105</xdr:colOff>
      <xdr:row>2</xdr:row>
      <xdr:rowOff>18774</xdr:rowOff>
    </xdr:to>
    <xdr:sp macro="[0]!VersLivraison" textlink="">
      <xdr:nvSpPr>
        <xdr:cNvPr id="30" name="Rectangle : coins arrondis 29">
          <a:extLst>
            <a:ext uri="{FF2B5EF4-FFF2-40B4-BE49-F238E27FC236}">
              <a16:creationId xmlns:a16="http://schemas.microsoft.com/office/drawing/2014/main" id="{64A8DC7A-0319-45F3-9487-AFDDCE2956DB}"/>
            </a:ext>
          </a:extLst>
        </xdr:cNvPr>
        <xdr:cNvSpPr/>
      </xdr:nvSpPr>
      <xdr:spPr>
        <a:xfrm>
          <a:off x="6372471" y="72114"/>
          <a:ext cx="900334" cy="40386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ysClr val="windowText" lastClr="00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Livraison</a:t>
          </a:r>
        </a:p>
      </xdr:txBody>
    </xdr:sp>
    <xdr:clientData/>
  </xdr:twoCellAnchor>
  <xdr:twoCellAnchor>
    <xdr:from>
      <xdr:col>7</xdr:col>
      <xdr:colOff>335482</xdr:colOff>
      <xdr:row>0</xdr:row>
      <xdr:rowOff>91164</xdr:rowOff>
    </xdr:from>
    <xdr:to>
      <xdr:col>7</xdr:col>
      <xdr:colOff>1371600</xdr:colOff>
      <xdr:row>2</xdr:row>
      <xdr:rowOff>37824</xdr:rowOff>
    </xdr:to>
    <xdr:sp macro="" textlink="">
      <xdr:nvSpPr>
        <xdr:cNvPr id="31" name="Rectangle : coins arrondis 30">
          <a:extLst>
            <a:ext uri="{FF2B5EF4-FFF2-40B4-BE49-F238E27FC236}">
              <a16:creationId xmlns:a16="http://schemas.microsoft.com/office/drawing/2014/main" id="{08B8E0D8-AFFF-4450-A51E-181C6DB8D8DD}"/>
            </a:ext>
          </a:extLst>
        </xdr:cNvPr>
        <xdr:cNvSpPr/>
      </xdr:nvSpPr>
      <xdr:spPr>
        <a:xfrm>
          <a:off x="7460182" y="91164"/>
          <a:ext cx="1036118" cy="403860"/>
        </a:xfrm>
        <a:prstGeom prst="roundRect">
          <a:avLst/>
        </a:prstGeom>
        <a:solidFill>
          <a:srgbClr val="EDF3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3C41CD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Facture</a:t>
          </a:r>
        </a:p>
      </xdr:txBody>
    </xdr:sp>
    <xdr:clientData/>
  </xdr:twoCellAnchor>
  <xdr:twoCellAnchor editAs="oneCell">
    <xdr:from>
      <xdr:col>4</xdr:col>
      <xdr:colOff>209824</xdr:colOff>
      <xdr:row>0</xdr:row>
      <xdr:rowOff>66675</xdr:rowOff>
    </xdr:from>
    <xdr:to>
      <xdr:col>4</xdr:col>
      <xdr:colOff>590550</xdr:colOff>
      <xdr:row>2</xdr:row>
      <xdr:rowOff>19050</xdr:rowOff>
    </xdr:to>
    <xdr:pic>
      <xdr:nvPicPr>
        <xdr:cNvPr id="32" name="Image 31">
          <a:extLst>
            <a:ext uri="{FF2B5EF4-FFF2-40B4-BE49-F238E27FC236}">
              <a16:creationId xmlns:a16="http://schemas.microsoft.com/office/drawing/2014/main" id="{BCCACA6B-A777-43C4-A476-93AA766BD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95824" y="66675"/>
          <a:ext cx="380726" cy="409575"/>
        </a:xfrm>
        <a:prstGeom prst="rect">
          <a:avLst/>
        </a:prstGeom>
      </xdr:spPr>
    </xdr:pic>
    <xdr:clientData/>
  </xdr:twoCellAnchor>
  <xdr:twoCellAnchor editAs="oneCell">
    <xdr:from>
      <xdr:col>14</xdr:col>
      <xdr:colOff>609600</xdr:colOff>
      <xdr:row>1</xdr:row>
      <xdr:rowOff>44313</xdr:rowOff>
    </xdr:from>
    <xdr:to>
      <xdr:col>14</xdr:col>
      <xdr:colOff>842550</xdr:colOff>
      <xdr:row>2</xdr:row>
      <xdr:rowOff>16708</xdr:rowOff>
    </xdr:to>
    <xdr:pic macro="[0]!VersParams">
      <xdr:nvPicPr>
        <xdr:cNvPr id="34" name="Image 33">
          <a:extLst>
            <a:ext uri="{FF2B5EF4-FFF2-40B4-BE49-F238E27FC236}">
              <a16:creationId xmlns:a16="http://schemas.microsoft.com/office/drawing/2014/main" id="{5FA3A1CD-ADF1-4E20-8941-01C37EBE2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54300" y="234813"/>
          <a:ext cx="232950" cy="239095"/>
        </a:xfrm>
        <a:prstGeom prst="rect">
          <a:avLst/>
        </a:prstGeom>
      </xdr:spPr>
    </xdr:pic>
    <xdr:clientData/>
  </xdr:twoCellAnchor>
  <xdr:twoCellAnchor>
    <xdr:from>
      <xdr:col>2</xdr:col>
      <xdr:colOff>38100</xdr:colOff>
      <xdr:row>5</xdr:row>
      <xdr:rowOff>169970</xdr:rowOff>
    </xdr:from>
    <xdr:to>
      <xdr:col>15</xdr:col>
      <xdr:colOff>37200</xdr:colOff>
      <xdr:row>5</xdr:row>
      <xdr:rowOff>169970</xdr:rowOff>
    </xdr:to>
    <xdr:cxnSp macro="">
      <xdr:nvCxnSpPr>
        <xdr:cNvPr id="35" name="Connecteur droit 34">
          <a:extLst>
            <a:ext uri="{FF2B5EF4-FFF2-40B4-BE49-F238E27FC236}">
              <a16:creationId xmlns:a16="http://schemas.microsoft.com/office/drawing/2014/main" id="{5D7C535F-B9D7-4B12-AD1B-69E9E2BDCB49}"/>
            </a:ext>
          </a:extLst>
        </xdr:cNvPr>
        <xdr:cNvCxnSpPr/>
      </xdr:nvCxnSpPr>
      <xdr:spPr>
        <a:xfrm>
          <a:off x="1562100" y="1198670"/>
          <a:ext cx="19544400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571500</xdr:colOff>
      <xdr:row>3</xdr:row>
      <xdr:rowOff>138790</xdr:rowOff>
    </xdr:from>
    <xdr:to>
      <xdr:col>4</xdr:col>
      <xdr:colOff>181041</xdr:colOff>
      <xdr:row>5</xdr:row>
      <xdr:rowOff>161650</xdr:rowOff>
    </xdr:to>
    <xdr:sp macro="[0]!VersCreationFacture" textlink="">
      <xdr:nvSpPr>
        <xdr:cNvPr id="37" name="Rectangle : coins arrondis 36">
          <a:extLst>
            <a:ext uri="{FF2B5EF4-FFF2-40B4-BE49-F238E27FC236}">
              <a16:creationId xmlns:a16="http://schemas.microsoft.com/office/drawing/2014/main" id="{D3333C6A-42CC-4AD4-8705-CFDCF9B9C14B}"/>
            </a:ext>
          </a:extLst>
        </xdr:cNvPr>
        <xdr:cNvSpPr/>
      </xdr:nvSpPr>
      <xdr:spPr>
        <a:xfrm>
          <a:off x="1333500" y="786490"/>
          <a:ext cx="1133541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Création</a:t>
          </a:r>
        </a:p>
      </xdr:txBody>
    </xdr:sp>
    <xdr:clientData/>
  </xdr:twoCellAnchor>
  <xdr:twoCellAnchor>
    <xdr:from>
      <xdr:col>4</xdr:col>
      <xdr:colOff>28576</xdr:colOff>
      <xdr:row>3</xdr:row>
      <xdr:rowOff>138790</xdr:rowOff>
    </xdr:from>
    <xdr:to>
      <xdr:col>5</xdr:col>
      <xdr:colOff>247650</xdr:colOff>
      <xdr:row>5</xdr:row>
      <xdr:rowOff>161650</xdr:rowOff>
    </xdr:to>
    <xdr:sp macro="" textlink="">
      <xdr:nvSpPr>
        <xdr:cNvPr id="38" name="Rectangle : coins arrondis 37">
          <a:extLst>
            <a:ext uri="{FF2B5EF4-FFF2-40B4-BE49-F238E27FC236}">
              <a16:creationId xmlns:a16="http://schemas.microsoft.com/office/drawing/2014/main" id="{378B6695-5249-40BC-9CE8-E12C1DF14C64}"/>
            </a:ext>
          </a:extLst>
        </xdr:cNvPr>
        <xdr:cNvSpPr/>
      </xdr:nvSpPr>
      <xdr:spPr>
        <a:xfrm>
          <a:off x="2314576" y="786490"/>
          <a:ext cx="1571624" cy="4038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FF0000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Liste des factures</a:t>
          </a:r>
        </a:p>
      </xdr:txBody>
    </xdr:sp>
    <xdr:clientData/>
  </xdr:twoCellAnchor>
  <xdr:twoCellAnchor>
    <xdr:from>
      <xdr:col>4</xdr:col>
      <xdr:colOff>504825</xdr:colOff>
      <xdr:row>0</xdr:row>
      <xdr:rowOff>114300</xdr:rowOff>
    </xdr:from>
    <xdr:to>
      <xdr:col>5</xdr:col>
      <xdr:colOff>441960</xdr:colOff>
      <xdr:row>1</xdr:row>
      <xdr:rowOff>251460</xdr:rowOff>
    </xdr:to>
    <xdr:sp macro="" textlink="$E$9">
      <xdr:nvSpPr>
        <xdr:cNvPr id="40" name="Rectangle : coins arrondis 39">
          <a:extLst>
            <a:ext uri="{FF2B5EF4-FFF2-40B4-BE49-F238E27FC236}">
              <a16:creationId xmlns:a16="http://schemas.microsoft.com/office/drawing/2014/main" id="{AAC559AE-A040-44AC-9EC5-626945532E41}"/>
            </a:ext>
          </a:extLst>
        </xdr:cNvPr>
        <xdr:cNvSpPr/>
      </xdr:nvSpPr>
      <xdr:spPr>
        <a:xfrm>
          <a:off x="2790825" y="114300"/>
          <a:ext cx="1289685" cy="32766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 u="none" strike="noStrike">
              <a:solidFill>
                <a:srgbClr val="131525"/>
              </a:solidFill>
              <a:latin typeface="Open Sans Semibold"/>
              <a:ea typeface="Open Sans Semibold"/>
              <a:cs typeface="Open Sans Semibold"/>
            </a:rPr>
            <a:t>TechnoMax</a:t>
          </a:r>
          <a:endParaRPr lang="fr-FR" sz="1400" b="0">
            <a:solidFill>
              <a:srgbClr val="131524"/>
            </a:solidFill>
            <a:latin typeface="Open Sans Semibold" panose="020B0706030804020204" pitchFamily="34" charset="0"/>
            <a:ea typeface="Open Sans Semibold" panose="020B0706030804020204" pitchFamily="34" charset="0"/>
            <a:cs typeface="Open Sans Semibold" panose="020B0706030804020204" pitchFamily="34" charset="0"/>
          </a:endParaRPr>
        </a:p>
      </xdr:txBody>
    </xdr:sp>
    <xdr:clientData/>
  </xdr:twoCellAnchor>
  <xdr:twoCellAnchor>
    <xdr:from>
      <xdr:col>4</xdr:col>
      <xdr:colOff>76200</xdr:colOff>
      <xdr:row>5</xdr:row>
      <xdr:rowOff>171450</xdr:rowOff>
    </xdr:from>
    <xdr:to>
      <xdr:col>5</xdr:col>
      <xdr:colOff>163650</xdr:colOff>
      <xdr:row>5</xdr:row>
      <xdr:rowOff>171450</xdr:rowOff>
    </xdr:to>
    <xdr:cxnSp macro="">
      <xdr:nvCxnSpPr>
        <xdr:cNvPr id="41" name="Connecteur droit 40">
          <a:extLst>
            <a:ext uri="{FF2B5EF4-FFF2-40B4-BE49-F238E27FC236}">
              <a16:creationId xmlns:a16="http://schemas.microsoft.com/office/drawing/2014/main" id="{640FE566-3ABA-4B2C-9394-3A35A2EF1314}"/>
            </a:ext>
          </a:extLst>
        </xdr:cNvPr>
        <xdr:cNvCxnSpPr/>
      </xdr:nvCxnSpPr>
      <xdr:spPr>
        <a:xfrm>
          <a:off x="2362200" y="1200150"/>
          <a:ext cx="1440000" cy="0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3C9910-E87E-4A6E-B8BA-C23B5BA63711}" name="Produits" displayName="Produits" ref="D20:F44" totalsRowShown="0" headerRowDxfId="19" dataDxfId="18">
  <autoFilter ref="D20:F44" xr:uid="{1D305E6E-AF53-4010-93E2-61CF247F7915}"/>
  <tableColumns count="3">
    <tableColumn id="1" xr3:uid="{F8681989-5A5C-47BF-9210-6EE02A73D591}" name="DÉSIGNATION" dataDxfId="17"/>
    <tableColumn id="2" xr3:uid="{7F0E80DE-BD02-40AB-8042-220EAC67C1F3}" name="RÉFÉRENCE" dataDxfId="16"/>
    <tableColumn id="3" xr3:uid="{459D5C40-262B-44D9-A63D-9797210C41F0}" name="PRIX" dataDxfId="1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A30D1D-5B79-4281-98A3-B4CFCB9243E5}" name="Clients" displayName="Clients" ref="J20:L46" totalsRowShown="0" headerRowDxfId="14" dataDxfId="13">
  <autoFilter ref="J20:L46" xr:uid="{493992BA-A15A-4285-BA66-043D1BC7BDEB}"/>
  <tableColumns count="3">
    <tableColumn id="1" xr3:uid="{59BBBDD7-2AEB-4406-96DE-579FECDD47CD}" name="NOM" dataDxfId="12"/>
    <tableColumn id="2" xr3:uid="{FCE8C975-8AB6-4B1D-B252-AFF342EE45B2}" name="ADRESSE" dataDxfId="11"/>
    <tableColumn id="3" xr3:uid="{21ACCF21-5DE6-4610-A45F-E64A01AF46DB}" name="TELEPHONE" dataDxfId="10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E591485-D276-429A-B7A1-3FD0CC36CEE7}" name="Tableau4" displayName="Tableau4" ref="E9:K16" totalsRowShown="0" headerRowDxfId="8" dataDxfId="7">
  <autoFilter ref="E9:K16" xr:uid="{994CA6D9-8648-43F0-9422-768D883620F5}"/>
  <tableColumns count="7">
    <tableColumn id="1" xr3:uid="{F8A7F5D6-1C7E-458D-A75B-D343E91CA522}" name="N° FACTURE" dataDxfId="6"/>
    <tableColumn id="2" xr3:uid="{2D8E6BF0-1AE8-414D-873B-A688308BB55F}" name="DATE" dataDxfId="5"/>
    <tableColumn id="3" xr3:uid="{562F2054-C9BC-47DF-936A-CBD58A23EAA3}" name="CLIENT" dataDxfId="4"/>
    <tableColumn id="4" xr3:uid="{FE528612-1F78-4435-8492-9B55A92129A5}" name="MONTANT TTC" dataDxfId="3"/>
    <tableColumn id="5" xr3:uid="{00409DE6-FDBE-41A9-9DB5-0F8963DC071A}" name="ÉTAT DE PAIEMENT" dataDxfId="2"/>
    <tableColumn id="6" xr3:uid="{C5994E4B-F211-40B3-972B-56DF0D7DB3BB}" name="MODE DE PAIEMENT" dataDxfId="1"/>
    <tableColumn id="7" xr3:uid="{6707B3EE-8CA8-4066-8975-D0928820A4EC}" name="DOCUMENT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technomax.ca/" TargetMode="External"/><Relationship Id="rId1" Type="http://schemas.openxmlformats.org/officeDocument/2006/relationships/hyperlink" Target="mailto:technomax@gmail.com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Documents/Facture/F2023-09-0003.pdf" TargetMode="Externa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DB24D-C62F-4DB9-A71D-422B090ED07D}">
  <sheetPr codeName="Feuil3"/>
  <dimension ref="A1:AB71"/>
  <sheetViews>
    <sheetView zoomScale="115" zoomScaleNormal="115" workbookViewId="0">
      <selection activeCell="K2" sqref="K2"/>
    </sheetView>
  </sheetViews>
  <sheetFormatPr baseColWidth="10" defaultColWidth="8.85546875" defaultRowHeight="15"/>
  <cols>
    <col min="1" max="2" width="8.85546875" style="1"/>
    <col min="3" max="3" width="4.7109375" style="1" customWidth="1"/>
    <col min="4" max="4" width="25.140625" style="1" customWidth="1"/>
    <col min="5" max="5" width="18.140625" style="1" customWidth="1"/>
    <col min="6" max="6" width="19.42578125" style="1" customWidth="1"/>
    <col min="7" max="7" width="4.7109375" style="1" customWidth="1"/>
    <col min="8" max="8" width="7" style="1" customWidth="1"/>
    <col min="9" max="9" width="4.7109375" style="1" customWidth="1"/>
    <col min="10" max="10" width="26.5703125" style="1" customWidth="1"/>
    <col min="11" max="11" width="39.42578125" style="1" bestFit="1" customWidth="1"/>
    <col min="12" max="12" width="17.85546875" style="1" bestFit="1" customWidth="1"/>
    <col min="13" max="13" width="4.7109375" style="1" customWidth="1"/>
    <col min="14" max="16384" width="8.85546875" style="1"/>
  </cols>
  <sheetData>
    <row r="1" spans="1:28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</row>
    <row r="2" spans="1:28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1:28" ht="10.9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6" spans="1:28" ht="19.149999999999999" customHeight="1">
      <c r="C6" s="2"/>
      <c r="D6" s="60" t="s">
        <v>118</v>
      </c>
      <c r="E6" s="60"/>
      <c r="F6" s="2"/>
      <c r="G6" s="2"/>
      <c r="I6" s="2"/>
      <c r="J6" s="60" t="s">
        <v>117</v>
      </c>
      <c r="K6" s="60"/>
      <c r="L6" s="2"/>
      <c r="M6" s="2"/>
    </row>
    <row r="7" spans="1:28">
      <c r="C7" s="2"/>
      <c r="D7" s="61" t="s">
        <v>6</v>
      </c>
      <c r="E7" s="61"/>
      <c r="F7" s="61"/>
      <c r="G7" s="2"/>
      <c r="I7" s="2"/>
      <c r="J7" s="57" t="s">
        <v>136</v>
      </c>
      <c r="K7" s="57"/>
      <c r="L7" s="57"/>
      <c r="M7" s="2"/>
    </row>
    <row r="8" spans="1:28" ht="15.75" thickBot="1">
      <c r="C8" s="2"/>
      <c r="D8" s="2"/>
      <c r="E8" s="2"/>
      <c r="F8" s="2"/>
      <c r="G8" s="2"/>
      <c r="I8" s="2"/>
      <c r="J8" s="2"/>
      <c r="K8" s="2"/>
      <c r="L8" s="2"/>
      <c r="M8" s="2"/>
    </row>
    <row r="9" spans="1:28" ht="16.149999999999999" customHeight="1" thickBot="1">
      <c r="C9" s="2"/>
      <c r="D9" s="9" t="s">
        <v>12</v>
      </c>
      <c r="E9" s="62" t="s">
        <v>110</v>
      </c>
      <c r="F9" s="62"/>
      <c r="G9" s="2"/>
      <c r="I9" s="2"/>
      <c r="J9" s="9" t="s">
        <v>13</v>
      </c>
      <c r="K9" s="59" t="s">
        <v>107</v>
      </c>
      <c r="L9" s="59"/>
      <c r="M9" s="2"/>
    </row>
    <row r="10" spans="1:28" ht="16.149999999999999" customHeight="1" thickBot="1">
      <c r="C10" s="2"/>
      <c r="D10" s="9" t="s">
        <v>11</v>
      </c>
      <c r="E10" s="59" t="s">
        <v>112</v>
      </c>
      <c r="F10" s="59"/>
      <c r="G10" s="2"/>
      <c r="I10" s="2"/>
      <c r="J10" s="9" t="s">
        <v>14</v>
      </c>
      <c r="K10" s="59" t="s">
        <v>106</v>
      </c>
      <c r="L10" s="59"/>
      <c r="M10" s="2"/>
    </row>
    <row r="11" spans="1:28" ht="16.149999999999999" customHeight="1" thickBot="1">
      <c r="C11" s="2"/>
      <c r="D11" s="9" t="s">
        <v>10</v>
      </c>
      <c r="E11" s="59" t="s">
        <v>113</v>
      </c>
      <c r="F11" s="59"/>
      <c r="G11" s="2"/>
      <c r="I11" s="2"/>
      <c r="J11" s="9" t="s">
        <v>15</v>
      </c>
      <c r="K11" s="59" t="s">
        <v>109</v>
      </c>
      <c r="L11" s="59"/>
      <c r="M11" s="2"/>
    </row>
    <row r="12" spans="1:28" ht="16.149999999999999" customHeight="1" thickBot="1">
      <c r="C12" s="2"/>
      <c r="D12" s="9" t="s">
        <v>9</v>
      </c>
      <c r="E12" s="58" t="s">
        <v>111</v>
      </c>
      <c r="F12" s="59"/>
      <c r="G12" s="2"/>
      <c r="I12" s="2"/>
      <c r="J12" s="9" t="s">
        <v>16</v>
      </c>
      <c r="K12" s="59" t="s">
        <v>108</v>
      </c>
      <c r="L12" s="59"/>
      <c r="M12" s="2"/>
    </row>
    <row r="13" spans="1:28" ht="16.149999999999999" customHeight="1" thickBot="1">
      <c r="C13" s="2"/>
      <c r="D13" s="9" t="s">
        <v>8</v>
      </c>
      <c r="E13" s="58" t="s">
        <v>132</v>
      </c>
      <c r="F13" s="59"/>
      <c r="G13" s="2"/>
      <c r="I13" s="2"/>
      <c r="J13" s="2"/>
      <c r="K13" s="2"/>
      <c r="L13" s="2"/>
      <c r="M13" s="2"/>
    </row>
    <row r="14" spans="1:28">
      <c r="C14" s="2"/>
      <c r="D14" s="2"/>
      <c r="E14" s="2"/>
      <c r="F14" s="2"/>
      <c r="G14" s="2"/>
      <c r="I14" s="2"/>
      <c r="J14" s="2"/>
      <c r="K14" s="2"/>
      <c r="L14" s="2"/>
      <c r="M14" s="2"/>
    </row>
    <row r="17" spans="3:13" ht="19.149999999999999" customHeight="1">
      <c r="C17" s="2"/>
      <c r="D17" s="60" t="s">
        <v>120</v>
      </c>
      <c r="E17" s="60"/>
      <c r="F17" s="2"/>
      <c r="G17" s="2"/>
      <c r="I17" s="2"/>
      <c r="J17" s="60" t="s">
        <v>119</v>
      </c>
      <c r="K17" s="60"/>
      <c r="L17" s="2"/>
      <c r="M17" s="2"/>
    </row>
    <row r="18" spans="3:13">
      <c r="C18" s="2"/>
      <c r="D18" s="57" t="s">
        <v>5</v>
      </c>
      <c r="E18" s="57"/>
      <c r="F18" s="57"/>
      <c r="G18" s="2"/>
      <c r="I18" s="2"/>
      <c r="J18" s="57" t="s">
        <v>7</v>
      </c>
      <c r="K18" s="57"/>
      <c r="L18" s="57"/>
      <c r="M18" s="2"/>
    </row>
    <row r="19" spans="3:13">
      <c r="C19" s="2"/>
      <c r="D19" s="2"/>
      <c r="E19" s="2"/>
      <c r="F19" s="2"/>
      <c r="G19" s="2"/>
      <c r="I19" s="2"/>
      <c r="J19" s="2"/>
      <c r="K19" s="2"/>
      <c r="L19" s="2"/>
      <c r="M19" s="2"/>
    </row>
    <row r="20" spans="3:13" ht="19.149999999999999" customHeight="1">
      <c r="C20" s="2"/>
      <c r="D20" s="32" t="s">
        <v>2</v>
      </c>
      <c r="E20" s="32" t="s">
        <v>3</v>
      </c>
      <c r="F20" s="32" t="s">
        <v>1</v>
      </c>
      <c r="G20" s="2"/>
      <c r="I20" s="2"/>
      <c r="J20" s="32" t="s">
        <v>17</v>
      </c>
      <c r="K20" s="32" t="s">
        <v>18</v>
      </c>
      <c r="L20" s="32" t="s">
        <v>19</v>
      </c>
      <c r="M20" s="2"/>
    </row>
    <row r="21" spans="3:13" ht="19.149999999999999" customHeight="1">
      <c r="C21" s="2"/>
      <c r="D21" s="7" t="s">
        <v>20</v>
      </c>
      <c r="E21" s="5" t="s">
        <v>21</v>
      </c>
      <c r="F21" s="6">
        <v>1119</v>
      </c>
      <c r="G21" s="2"/>
      <c r="I21" s="2"/>
      <c r="J21" s="10" t="s">
        <v>0</v>
      </c>
      <c r="K21" s="11" t="s">
        <v>98</v>
      </c>
      <c r="L21" s="7" t="s">
        <v>99</v>
      </c>
      <c r="M21" s="2"/>
    </row>
    <row r="22" spans="3:13" ht="19.149999999999999" customHeight="1">
      <c r="C22" s="2"/>
      <c r="D22" s="7" t="s">
        <v>22</v>
      </c>
      <c r="E22" s="5" t="s">
        <v>23</v>
      </c>
      <c r="F22" s="8">
        <v>899</v>
      </c>
      <c r="G22" s="2"/>
      <c r="I22" s="2"/>
      <c r="J22" s="10" t="s">
        <v>59</v>
      </c>
      <c r="K22" s="11" t="s">
        <v>80</v>
      </c>
      <c r="L22" s="7" t="s">
        <v>81</v>
      </c>
      <c r="M22" s="2"/>
    </row>
    <row r="23" spans="3:13" ht="19.149999999999999" customHeight="1">
      <c r="C23" s="2"/>
      <c r="D23" s="7" t="s">
        <v>25</v>
      </c>
      <c r="E23" s="5" t="s">
        <v>24</v>
      </c>
      <c r="F23" s="8">
        <v>789</v>
      </c>
      <c r="G23" s="2"/>
      <c r="I23" s="2"/>
      <c r="J23" s="10" t="s">
        <v>58</v>
      </c>
      <c r="K23" s="11" t="s">
        <v>83</v>
      </c>
      <c r="L23" s="7" t="s">
        <v>84</v>
      </c>
      <c r="M23" s="2"/>
    </row>
    <row r="24" spans="3:13" ht="19.149999999999999" customHeight="1">
      <c r="C24" s="2"/>
      <c r="D24" s="7" t="s">
        <v>26</v>
      </c>
      <c r="E24" s="5" t="s">
        <v>29</v>
      </c>
      <c r="F24" s="8">
        <v>999</v>
      </c>
      <c r="G24" s="2"/>
      <c r="I24" s="2"/>
      <c r="J24" s="10" t="s">
        <v>60</v>
      </c>
      <c r="K24" s="11" t="s">
        <v>85</v>
      </c>
      <c r="L24" s="7" t="s">
        <v>86</v>
      </c>
      <c r="M24" s="2"/>
    </row>
    <row r="25" spans="3:13" ht="19.149999999999999" customHeight="1">
      <c r="C25" s="2"/>
      <c r="D25" s="7" t="s">
        <v>27</v>
      </c>
      <c r="E25" s="5" t="s">
        <v>30</v>
      </c>
      <c r="F25" s="8">
        <v>1449</v>
      </c>
      <c r="G25" s="2"/>
      <c r="I25" s="2"/>
      <c r="J25" s="10" t="s">
        <v>61</v>
      </c>
      <c r="K25" s="11" t="s">
        <v>87</v>
      </c>
      <c r="L25" s="7" t="s">
        <v>88</v>
      </c>
      <c r="M25" s="2"/>
    </row>
    <row r="26" spans="3:13" ht="19.149999999999999" customHeight="1">
      <c r="C26" s="2"/>
      <c r="D26" s="7" t="s">
        <v>28</v>
      </c>
      <c r="E26" s="5" t="s">
        <v>31</v>
      </c>
      <c r="F26" s="8">
        <v>1479</v>
      </c>
      <c r="G26" s="2"/>
      <c r="I26" s="2"/>
      <c r="J26" s="10" t="s">
        <v>62</v>
      </c>
      <c r="K26" s="7" t="s">
        <v>89</v>
      </c>
      <c r="L26" s="7" t="s">
        <v>90</v>
      </c>
      <c r="M26" s="2"/>
    </row>
    <row r="27" spans="3:13" ht="19.149999999999999" customHeight="1">
      <c r="C27" s="2"/>
      <c r="D27" s="7" t="s">
        <v>32</v>
      </c>
      <c r="E27" s="5" t="s">
        <v>36</v>
      </c>
      <c r="F27" s="8">
        <v>269</v>
      </c>
      <c r="G27" s="2"/>
      <c r="I27" s="2"/>
      <c r="J27" s="10" t="s">
        <v>63</v>
      </c>
      <c r="K27" s="11" t="s">
        <v>97</v>
      </c>
      <c r="L27" s="7" t="s">
        <v>91</v>
      </c>
      <c r="M27" s="2"/>
    </row>
    <row r="28" spans="3:13" ht="19.149999999999999" customHeight="1">
      <c r="C28" s="2"/>
      <c r="D28" s="7" t="s">
        <v>33</v>
      </c>
      <c r="E28" s="5" t="s">
        <v>37</v>
      </c>
      <c r="F28" s="8">
        <v>948</v>
      </c>
      <c r="G28" s="2"/>
      <c r="I28" s="2"/>
      <c r="J28" s="10" t="s">
        <v>64</v>
      </c>
      <c r="K28" s="11" t="s">
        <v>92</v>
      </c>
      <c r="L28" s="7" t="s">
        <v>93</v>
      </c>
      <c r="M28" s="2"/>
    </row>
    <row r="29" spans="3:13" ht="19.149999999999999" customHeight="1">
      <c r="C29" s="2"/>
      <c r="D29" s="7" t="s">
        <v>34</v>
      </c>
      <c r="E29" s="5" t="s">
        <v>38</v>
      </c>
      <c r="F29" s="8">
        <v>349</v>
      </c>
      <c r="G29" s="2"/>
      <c r="I29" s="2"/>
      <c r="J29" s="10" t="s">
        <v>65</v>
      </c>
      <c r="K29" s="11" t="s">
        <v>94</v>
      </c>
      <c r="L29" s="7" t="s">
        <v>95</v>
      </c>
      <c r="M29" s="2"/>
    </row>
    <row r="30" spans="3:13" ht="19.149999999999999" customHeight="1">
      <c r="C30" s="2"/>
      <c r="D30" s="7" t="s">
        <v>35</v>
      </c>
      <c r="E30" s="5" t="s">
        <v>39</v>
      </c>
      <c r="F30" s="8">
        <v>679</v>
      </c>
      <c r="G30" s="2"/>
      <c r="I30" s="2"/>
      <c r="J30" s="10" t="s">
        <v>66</v>
      </c>
      <c r="K30" s="11" t="s">
        <v>96</v>
      </c>
      <c r="L30" s="7" t="s">
        <v>91</v>
      </c>
      <c r="M30" s="2"/>
    </row>
    <row r="31" spans="3:13" ht="19.149999999999999" customHeight="1">
      <c r="C31" s="2"/>
      <c r="D31" s="7" t="s">
        <v>103</v>
      </c>
      <c r="E31" s="5" t="s">
        <v>40</v>
      </c>
      <c r="F31" s="8">
        <v>599</v>
      </c>
      <c r="G31" s="2"/>
      <c r="I31" s="2"/>
      <c r="J31" s="10" t="s">
        <v>67</v>
      </c>
      <c r="K31" s="7" t="s">
        <v>4</v>
      </c>
      <c r="L31" s="7" t="s">
        <v>82</v>
      </c>
      <c r="M31" s="2"/>
    </row>
    <row r="32" spans="3:13" ht="19.149999999999999" customHeight="1">
      <c r="C32" s="2"/>
      <c r="D32" s="7" t="s">
        <v>41</v>
      </c>
      <c r="E32" s="5" t="s">
        <v>45</v>
      </c>
      <c r="F32" s="8">
        <v>1169</v>
      </c>
      <c r="G32" s="2"/>
      <c r="I32" s="2"/>
      <c r="J32" s="10" t="s">
        <v>68</v>
      </c>
      <c r="K32" s="11" t="s">
        <v>80</v>
      </c>
      <c r="L32" s="7" t="s">
        <v>81</v>
      </c>
      <c r="M32" s="2"/>
    </row>
    <row r="33" spans="3:13" ht="19.149999999999999" customHeight="1">
      <c r="C33" s="2"/>
      <c r="D33" s="7" t="s">
        <v>42</v>
      </c>
      <c r="E33" s="5" t="s">
        <v>46</v>
      </c>
      <c r="F33" s="8">
        <v>979</v>
      </c>
      <c r="G33" s="2"/>
      <c r="I33" s="2"/>
      <c r="J33" s="10" t="s">
        <v>69</v>
      </c>
      <c r="K33" s="11" t="s">
        <v>83</v>
      </c>
      <c r="L33" s="7" t="s">
        <v>84</v>
      </c>
      <c r="M33" s="2"/>
    </row>
    <row r="34" spans="3:13" ht="19.149999999999999" customHeight="1">
      <c r="C34" s="2"/>
      <c r="D34" s="7" t="s">
        <v>43</v>
      </c>
      <c r="E34" s="5" t="s">
        <v>47</v>
      </c>
      <c r="F34" s="8">
        <v>449</v>
      </c>
      <c r="G34" s="2"/>
      <c r="I34" s="2"/>
      <c r="J34" s="10" t="s">
        <v>70</v>
      </c>
      <c r="K34" s="11" t="s">
        <v>85</v>
      </c>
      <c r="L34" s="7" t="s">
        <v>86</v>
      </c>
      <c r="M34" s="2"/>
    </row>
    <row r="35" spans="3:13" ht="19.149999999999999" customHeight="1">
      <c r="C35" s="2"/>
      <c r="D35" s="7" t="s">
        <v>44</v>
      </c>
      <c r="E35" s="5" t="s">
        <v>48</v>
      </c>
      <c r="F35" s="8">
        <v>149</v>
      </c>
      <c r="G35" s="2"/>
      <c r="I35" s="2"/>
      <c r="J35" s="10" t="s">
        <v>71</v>
      </c>
      <c r="K35" s="11" t="s">
        <v>87</v>
      </c>
      <c r="L35" s="7" t="s">
        <v>88</v>
      </c>
      <c r="M35" s="2"/>
    </row>
    <row r="36" spans="3:13" ht="19.149999999999999" customHeight="1">
      <c r="C36" s="2"/>
      <c r="D36" s="7" t="s">
        <v>102</v>
      </c>
      <c r="E36" s="5" t="s">
        <v>50</v>
      </c>
      <c r="F36" s="8">
        <v>229</v>
      </c>
      <c r="G36" s="2"/>
      <c r="I36" s="2"/>
      <c r="J36" s="10" t="s">
        <v>72</v>
      </c>
      <c r="K36" s="7" t="s">
        <v>89</v>
      </c>
      <c r="L36" s="7" t="s">
        <v>90</v>
      </c>
      <c r="M36" s="2"/>
    </row>
    <row r="37" spans="3:13" ht="19.149999999999999" customHeight="1">
      <c r="C37" s="2"/>
      <c r="D37" s="7" t="s">
        <v>49</v>
      </c>
      <c r="E37" s="5" t="s">
        <v>51</v>
      </c>
      <c r="F37" s="8">
        <v>99</v>
      </c>
      <c r="G37" s="2"/>
      <c r="I37" s="2"/>
      <c r="J37" s="10" t="s">
        <v>73</v>
      </c>
      <c r="K37" s="11" t="s">
        <v>97</v>
      </c>
      <c r="L37" s="7" t="s">
        <v>91</v>
      </c>
      <c r="M37" s="2"/>
    </row>
    <row r="38" spans="3:13" ht="19.149999999999999" customHeight="1">
      <c r="C38" s="2"/>
      <c r="D38" s="7" t="s">
        <v>52</v>
      </c>
      <c r="E38" s="5" t="s">
        <v>36</v>
      </c>
      <c r="F38" s="8">
        <v>279</v>
      </c>
      <c r="G38" s="2"/>
      <c r="I38" s="2"/>
      <c r="J38" s="10" t="s">
        <v>74</v>
      </c>
      <c r="K38" s="11" t="s">
        <v>92</v>
      </c>
      <c r="L38" s="7" t="s">
        <v>93</v>
      </c>
      <c r="M38" s="2"/>
    </row>
    <row r="39" spans="3:13" ht="19.149999999999999" customHeight="1">
      <c r="C39" s="2"/>
      <c r="D39" s="7" t="s">
        <v>100</v>
      </c>
      <c r="E39" s="5" t="s">
        <v>37</v>
      </c>
      <c r="F39" s="8">
        <v>134</v>
      </c>
      <c r="G39" s="2"/>
      <c r="I39" s="2"/>
      <c r="J39" s="10" t="s">
        <v>75</v>
      </c>
      <c r="K39" s="11" t="s">
        <v>94</v>
      </c>
      <c r="L39" s="7" t="s">
        <v>95</v>
      </c>
      <c r="M39" s="2"/>
    </row>
    <row r="40" spans="3:13" ht="19.149999999999999" customHeight="1">
      <c r="C40" s="2"/>
      <c r="D40" s="7" t="s">
        <v>53</v>
      </c>
      <c r="E40" s="5" t="s">
        <v>38</v>
      </c>
      <c r="F40" s="8">
        <v>579</v>
      </c>
      <c r="G40" s="2"/>
      <c r="I40" s="2"/>
      <c r="J40" s="10" t="s">
        <v>76</v>
      </c>
      <c r="K40" s="11" t="s">
        <v>96</v>
      </c>
      <c r="L40" s="7" t="s">
        <v>91</v>
      </c>
      <c r="M40" s="2"/>
    </row>
    <row r="41" spans="3:13" ht="19.149999999999999" customHeight="1">
      <c r="C41" s="2"/>
      <c r="D41" s="7" t="s">
        <v>105</v>
      </c>
      <c r="E41" s="5" t="s">
        <v>55</v>
      </c>
      <c r="F41" s="8">
        <v>269</v>
      </c>
      <c r="G41" s="2"/>
      <c r="I41" s="2"/>
      <c r="J41" s="10" t="s">
        <v>77</v>
      </c>
      <c r="K41" s="11" t="s">
        <v>92</v>
      </c>
      <c r="L41" s="7" t="s">
        <v>93</v>
      </c>
      <c r="M41" s="2"/>
    </row>
    <row r="42" spans="3:13" ht="19.149999999999999" customHeight="1">
      <c r="C42" s="2"/>
      <c r="D42" s="7" t="s">
        <v>54</v>
      </c>
      <c r="E42" s="5" t="s">
        <v>56</v>
      </c>
      <c r="F42" s="8">
        <v>459</v>
      </c>
      <c r="G42" s="2"/>
      <c r="I42" s="2"/>
      <c r="J42" s="10" t="s">
        <v>78</v>
      </c>
      <c r="K42" s="11" t="s">
        <v>94</v>
      </c>
      <c r="L42" s="7" t="s">
        <v>95</v>
      </c>
      <c r="M42" s="2"/>
    </row>
    <row r="43" spans="3:13" ht="19.149999999999999" customHeight="1">
      <c r="C43" s="2"/>
      <c r="D43" s="7" t="s">
        <v>101</v>
      </c>
      <c r="E43" s="5" t="s">
        <v>57</v>
      </c>
      <c r="F43" s="8">
        <v>199</v>
      </c>
      <c r="G43" s="2"/>
      <c r="I43" s="2"/>
      <c r="J43" s="10" t="s">
        <v>79</v>
      </c>
      <c r="K43" s="11" t="s">
        <v>96</v>
      </c>
      <c r="L43" s="7" t="s">
        <v>91</v>
      </c>
      <c r="M43" s="2"/>
    </row>
    <row r="44" spans="3:13" ht="19.149999999999999" customHeight="1">
      <c r="C44" s="2"/>
      <c r="D44" s="7" t="s">
        <v>130</v>
      </c>
      <c r="E44" s="5" t="s">
        <v>131</v>
      </c>
      <c r="F44" s="8">
        <v>44.25</v>
      </c>
      <c r="G44" s="2"/>
      <c r="I44" s="2"/>
      <c r="J44" s="10" t="s">
        <v>104</v>
      </c>
      <c r="K44" s="7" t="s">
        <v>89</v>
      </c>
      <c r="L44" s="7" t="s">
        <v>90</v>
      </c>
      <c r="M44" s="2"/>
    </row>
    <row r="45" spans="3:13" ht="19.149999999999999" customHeight="1">
      <c r="C45" s="2"/>
      <c r="D45" s="2"/>
      <c r="E45" s="2"/>
      <c r="F45" s="2"/>
      <c r="G45" s="2"/>
      <c r="I45" s="2"/>
      <c r="J45" s="10" t="s">
        <v>121</v>
      </c>
      <c r="K45" s="5" t="s">
        <v>122</v>
      </c>
      <c r="L45" s="5" t="s">
        <v>123</v>
      </c>
      <c r="M45" s="2"/>
    </row>
    <row r="46" spans="3:13" ht="19.149999999999999" customHeight="1">
      <c r="C46" s="2"/>
      <c r="D46" s="2"/>
      <c r="E46" s="2"/>
      <c r="F46" s="2"/>
      <c r="G46" s="2"/>
      <c r="I46" s="2"/>
      <c r="J46" s="10" t="s">
        <v>133</v>
      </c>
      <c r="K46" s="5" t="s">
        <v>134</v>
      </c>
      <c r="L46" s="5" t="s">
        <v>135</v>
      </c>
      <c r="M46" s="2"/>
    </row>
    <row r="47" spans="3:13" ht="19.149999999999999" customHeight="1">
      <c r="C47" s="2"/>
      <c r="D47" s="2"/>
      <c r="E47" s="2"/>
      <c r="F47" s="2"/>
      <c r="G47" s="2"/>
      <c r="I47" s="2"/>
      <c r="J47" s="2"/>
      <c r="K47" s="2"/>
      <c r="L47" s="2"/>
      <c r="M47" s="2"/>
    </row>
    <row r="48" spans="3:13" ht="19.149999999999999" customHeight="1">
      <c r="C48" s="2"/>
      <c r="D48" s="2"/>
      <c r="E48" s="2"/>
      <c r="F48" s="2"/>
      <c r="G48" s="2"/>
      <c r="I48" s="2"/>
      <c r="J48" s="2"/>
      <c r="K48" s="2"/>
      <c r="L48" s="2"/>
      <c r="M48" s="2"/>
    </row>
    <row r="49" spans="3:13" ht="19.149999999999999" customHeight="1">
      <c r="C49" s="2"/>
      <c r="D49" s="2"/>
      <c r="E49" s="2"/>
      <c r="F49" s="2"/>
      <c r="G49" s="2"/>
      <c r="I49" s="2"/>
      <c r="J49" s="2"/>
      <c r="K49" s="2"/>
      <c r="L49" s="2"/>
      <c r="M49" s="2"/>
    </row>
    <row r="50" spans="3:13" ht="19.149999999999999" customHeight="1">
      <c r="C50" s="2"/>
      <c r="D50" s="2"/>
      <c r="E50" s="2"/>
      <c r="F50" s="2"/>
      <c r="G50" s="2"/>
      <c r="I50" s="2"/>
      <c r="J50" s="2"/>
      <c r="K50" s="2"/>
      <c r="L50" s="2"/>
      <c r="M50" s="2"/>
    </row>
    <row r="51" spans="3:13" ht="19.149999999999999" customHeight="1">
      <c r="C51" s="2"/>
      <c r="D51" s="2"/>
      <c r="E51" s="2"/>
      <c r="F51" s="2"/>
      <c r="G51" s="2"/>
      <c r="I51" s="2"/>
      <c r="J51" s="2"/>
      <c r="K51" s="2"/>
      <c r="L51" s="2"/>
      <c r="M51" s="2"/>
    </row>
    <row r="52" spans="3:13" ht="19.149999999999999" customHeight="1">
      <c r="C52" s="2"/>
      <c r="D52" s="2"/>
      <c r="E52" s="2"/>
      <c r="F52" s="2"/>
      <c r="G52" s="2"/>
      <c r="I52" s="2"/>
      <c r="J52" s="2"/>
      <c r="K52" s="2"/>
      <c r="L52" s="2"/>
      <c r="M52" s="2"/>
    </row>
    <row r="53" spans="3:13" ht="19.149999999999999" customHeight="1">
      <c r="C53" s="2"/>
      <c r="D53" s="2"/>
      <c r="E53" s="2"/>
      <c r="F53" s="2"/>
      <c r="G53" s="2"/>
      <c r="I53" s="2"/>
      <c r="J53" s="2"/>
      <c r="K53" s="2"/>
      <c r="L53" s="2"/>
      <c r="M53" s="2"/>
    </row>
    <row r="54" spans="3:13" ht="19.149999999999999" customHeight="1">
      <c r="C54" s="2"/>
      <c r="D54" s="2"/>
      <c r="E54" s="2"/>
      <c r="F54" s="2"/>
      <c r="G54" s="2"/>
      <c r="I54" s="2"/>
      <c r="J54" s="2"/>
      <c r="K54" s="2"/>
      <c r="L54" s="2"/>
      <c r="M54" s="2"/>
    </row>
    <row r="55" spans="3:13" ht="19.149999999999999" customHeight="1">
      <c r="C55" s="2"/>
      <c r="D55" s="2"/>
      <c r="E55" s="2"/>
      <c r="F55" s="2"/>
      <c r="G55" s="2"/>
      <c r="I55" s="2"/>
      <c r="J55" s="2"/>
      <c r="K55" s="2"/>
      <c r="L55" s="2"/>
      <c r="M55" s="2"/>
    </row>
    <row r="56" spans="3:13" ht="19.149999999999999" customHeight="1">
      <c r="C56" s="2"/>
      <c r="D56" s="2"/>
      <c r="E56" s="2"/>
      <c r="F56" s="2"/>
      <c r="G56" s="2"/>
      <c r="I56" s="2"/>
      <c r="J56" s="2"/>
      <c r="K56" s="2"/>
      <c r="L56" s="2"/>
      <c r="M56" s="2"/>
    </row>
    <row r="57" spans="3:13" ht="19.149999999999999" customHeight="1">
      <c r="C57" s="2"/>
      <c r="D57" s="2"/>
      <c r="E57" s="2"/>
      <c r="F57" s="2"/>
      <c r="G57" s="2"/>
      <c r="I57" s="2"/>
      <c r="J57" s="2"/>
      <c r="K57" s="2"/>
      <c r="L57" s="2"/>
      <c r="M57" s="2"/>
    </row>
    <row r="58" spans="3:13" ht="19.149999999999999" customHeight="1">
      <c r="C58" s="2"/>
      <c r="D58" s="2"/>
      <c r="E58" s="2"/>
      <c r="F58" s="2"/>
      <c r="G58" s="2"/>
      <c r="I58" s="2"/>
      <c r="J58" s="2"/>
      <c r="K58" s="2"/>
      <c r="L58" s="2"/>
      <c r="M58" s="2"/>
    </row>
    <row r="59" spans="3:13" ht="19.149999999999999" customHeight="1">
      <c r="C59" s="2"/>
      <c r="D59" s="2"/>
      <c r="E59" s="2"/>
      <c r="F59" s="2"/>
      <c r="G59" s="2"/>
      <c r="I59" s="2"/>
      <c r="J59" s="2"/>
      <c r="K59" s="2"/>
      <c r="L59" s="2"/>
      <c r="M59" s="2"/>
    </row>
    <row r="60" spans="3:13" ht="19.149999999999999" customHeight="1">
      <c r="C60" s="2"/>
      <c r="D60" s="2"/>
      <c r="E60" s="2"/>
      <c r="F60" s="2"/>
      <c r="G60" s="2"/>
      <c r="I60" s="2"/>
      <c r="J60" s="2"/>
      <c r="K60" s="2"/>
      <c r="L60" s="2"/>
      <c r="M60" s="2"/>
    </row>
    <row r="61" spans="3:13" ht="19.149999999999999" customHeight="1">
      <c r="C61" s="2"/>
      <c r="D61" s="2"/>
      <c r="E61" s="2"/>
      <c r="F61" s="2"/>
      <c r="G61" s="2"/>
      <c r="I61" s="2"/>
      <c r="J61" s="2"/>
      <c r="K61" s="2"/>
      <c r="L61" s="2"/>
      <c r="M61" s="2"/>
    </row>
    <row r="62" spans="3:13" ht="19.149999999999999" customHeight="1">
      <c r="C62" s="2"/>
      <c r="D62" s="2"/>
      <c r="E62" s="2"/>
      <c r="F62" s="2"/>
      <c r="G62" s="2"/>
      <c r="I62" s="2"/>
      <c r="J62" s="2"/>
      <c r="K62" s="2"/>
      <c r="L62" s="2"/>
      <c r="M62" s="2"/>
    </row>
    <row r="63" spans="3:13" ht="19.149999999999999" customHeight="1">
      <c r="C63" s="2"/>
      <c r="D63" s="2"/>
      <c r="E63" s="2"/>
      <c r="F63" s="2"/>
      <c r="G63" s="2"/>
      <c r="I63" s="2"/>
      <c r="J63" s="2"/>
      <c r="K63" s="2"/>
      <c r="L63" s="2"/>
      <c r="M63" s="2"/>
    </row>
    <row r="64" spans="3:13" ht="19.149999999999999" customHeight="1">
      <c r="C64" s="2"/>
      <c r="D64" s="2"/>
      <c r="E64" s="2"/>
      <c r="F64" s="2"/>
      <c r="G64" s="2"/>
      <c r="I64" s="2"/>
      <c r="J64" s="2"/>
      <c r="K64" s="2"/>
      <c r="L64" s="2"/>
      <c r="M64" s="2"/>
    </row>
    <row r="65" spans="3:13" ht="19.149999999999999" customHeight="1">
      <c r="C65" s="2"/>
      <c r="D65" s="2"/>
      <c r="E65" s="2"/>
      <c r="F65" s="2"/>
      <c r="G65" s="2"/>
      <c r="I65" s="2"/>
      <c r="J65" s="2"/>
      <c r="K65" s="2"/>
      <c r="L65" s="2"/>
      <c r="M65" s="2"/>
    </row>
    <row r="66" spans="3:13" ht="19.149999999999999" customHeight="1">
      <c r="C66" s="2"/>
      <c r="D66" s="2"/>
      <c r="E66" s="2"/>
      <c r="F66" s="2"/>
      <c r="G66" s="2"/>
      <c r="I66" s="2"/>
      <c r="J66" s="2"/>
      <c r="K66" s="2"/>
      <c r="L66" s="2"/>
      <c r="M66" s="2"/>
    </row>
    <row r="67" spans="3:13" ht="19.149999999999999" customHeight="1">
      <c r="C67" s="2"/>
      <c r="D67" s="2"/>
      <c r="E67" s="2"/>
      <c r="F67" s="2"/>
      <c r="G67" s="2"/>
      <c r="I67" s="2"/>
      <c r="J67" s="2"/>
      <c r="K67" s="2"/>
      <c r="L67" s="2"/>
      <c r="M67" s="2"/>
    </row>
    <row r="68" spans="3:13" ht="19.149999999999999" customHeight="1">
      <c r="C68" s="2"/>
      <c r="D68" s="2"/>
      <c r="E68" s="2"/>
      <c r="F68" s="2"/>
      <c r="G68" s="2"/>
      <c r="I68" s="2"/>
      <c r="J68" s="2"/>
      <c r="K68" s="2"/>
      <c r="L68" s="2"/>
      <c r="M68" s="2"/>
    </row>
    <row r="69" spans="3:13" ht="19.149999999999999" customHeight="1">
      <c r="C69" s="2"/>
      <c r="D69" s="2"/>
      <c r="E69" s="2"/>
      <c r="F69" s="2"/>
      <c r="G69" s="2"/>
      <c r="I69" s="2"/>
      <c r="J69" s="2"/>
      <c r="K69" s="2"/>
      <c r="L69" s="2"/>
      <c r="M69" s="2"/>
    </row>
    <row r="70" spans="3:13" ht="19.149999999999999" customHeight="1">
      <c r="C70" s="2"/>
      <c r="D70" s="2"/>
      <c r="E70" s="2"/>
      <c r="F70" s="2"/>
      <c r="G70" s="2"/>
      <c r="I70" s="2"/>
      <c r="J70" s="2"/>
      <c r="K70" s="2"/>
      <c r="L70" s="2"/>
      <c r="M70" s="2"/>
    </row>
    <row r="71" spans="3:13" ht="19.149999999999999" customHeight="1">
      <c r="C71" s="2"/>
      <c r="D71" s="2"/>
      <c r="E71" s="2"/>
      <c r="F71" s="2"/>
      <c r="G71" s="2"/>
      <c r="I71" s="2"/>
      <c r="J71" s="2"/>
      <c r="K71" s="2"/>
      <c r="L71" s="2"/>
      <c r="M71" s="2"/>
    </row>
  </sheetData>
  <mergeCells count="17">
    <mergeCell ref="D6:E6"/>
    <mergeCell ref="J6:K6"/>
    <mergeCell ref="D17:E17"/>
    <mergeCell ref="J17:K17"/>
    <mergeCell ref="J7:L7"/>
    <mergeCell ref="D7:F7"/>
    <mergeCell ref="E9:F9"/>
    <mergeCell ref="E10:F10"/>
    <mergeCell ref="E11:F11"/>
    <mergeCell ref="E12:F12"/>
    <mergeCell ref="D18:F18"/>
    <mergeCell ref="J18:L18"/>
    <mergeCell ref="E13:F13"/>
    <mergeCell ref="K9:L9"/>
    <mergeCell ref="K10:L10"/>
    <mergeCell ref="K11:L11"/>
    <mergeCell ref="K12:L12"/>
  </mergeCells>
  <phoneticPr fontId="14" type="noConversion"/>
  <hyperlinks>
    <hyperlink ref="E12" r:id="rId1" xr:uid="{AC3119F9-FA1C-4718-A44E-04AB82EE6BA2}"/>
    <hyperlink ref="E13" r:id="rId2" xr:uid="{44FBFADF-1A60-4139-AF63-2525AE31C624}"/>
  </hyperlinks>
  <pageMargins left="0.7" right="0.7" top="0.75" bottom="0.75" header="0.3" footer="0.3"/>
  <pageSetup paperSize="9" orientation="portrait" r:id="rId3"/>
  <drawing r:id="rId4"/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AB54"/>
  <sheetViews>
    <sheetView showGridLines="0" zoomScaleNormal="100" workbookViewId="0">
      <selection activeCell="H5" sqref="H5"/>
    </sheetView>
  </sheetViews>
  <sheetFormatPr baseColWidth="10" defaultColWidth="8.85546875" defaultRowHeight="15"/>
  <cols>
    <col min="1" max="1" width="14.140625" style="1" customWidth="1"/>
    <col min="2" max="2" width="8.85546875" style="1"/>
    <col min="3" max="3" width="3.7109375" style="1" customWidth="1"/>
    <col min="4" max="4" width="5.5703125" style="1" customWidth="1"/>
    <col min="5" max="5" width="37.7109375" style="1" customWidth="1"/>
    <col min="6" max="6" width="2.42578125" style="1" customWidth="1"/>
    <col min="7" max="7" width="1.140625" style="1" hidden="1" customWidth="1"/>
    <col min="8" max="8" width="30.140625" style="1" customWidth="1"/>
    <col min="9" max="9" width="18.7109375" style="1" customWidth="1"/>
    <col min="10" max="10" width="11.5703125" style="1" customWidth="1"/>
    <col min="11" max="11" width="2.140625" style="1" customWidth="1"/>
    <col min="12" max="12" width="15.140625" style="1" customWidth="1"/>
    <col min="13" max="13" width="7.5703125" style="1" customWidth="1"/>
    <col min="14" max="14" width="8.85546875" style="1" customWidth="1"/>
    <col min="15" max="16384" width="8.85546875" style="1"/>
  </cols>
  <sheetData>
    <row r="1" spans="1:28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</row>
    <row r="2" spans="1:28" ht="21">
      <c r="A2" s="2"/>
      <c r="B2" s="2"/>
      <c r="C2" s="2"/>
      <c r="D2" s="2"/>
      <c r="E2" s="25" t="str">
        <f>Parameters!E9</f>
        <v>TechnoMax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1:28" ht="10.9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6" spans="1:28">
      <c r="C6" s="26"/>
      <c r="D6" s="2"/>
      <c r="E6" s="2"/>
      <c r="F6" s="2"/>
      <c r="G6" s="2"/>
      <c r="H6" s="2"/>
      <c r="I6" s="2"/>
      <c r="J6" s="2"/>
      <c r="K6" s="2"/>
      <c r="L6" s="2"/>
      <c r="M6" s="2"/>
    </row>
    <row r="7" spans="1:28">
      <c r="C7" s="26"/>
      <c r="D7" s="2"/>
      <c r="E7" s="2"/>
      <c r="F7" s="2"/>
      <c r="G7" s="2"/>
      <c r="H7" s="2"/>
      <c r="I7" s="2"/>
      <c r="J7" s="2"/>
      <c r="K7" s="2"/>
      <c r="L7" s="2"/>
      <c r="M7" s="2"/>
    </row>
    <row r="8" spans="1:28" ht="18">
      <c r="C8" s="26"/>
      <c r="D8" s="2"/>
      <c r="E8" s="2"/>
      <c r="F8" s="2"/>
      <c r="G8" s="2"/>
      <c r="H8" s="28"/>
      <c r="I8" s="30" t="s">
        <v>114</v>
      </c>
      <c r="J8" s="63">
        <f ca="1">TODAY()</f>
        <v>45193</v>
      </c>
      <c r="K8" s="63"/>
      <c r="L8" s="63"/>
      <c r="M8" s="2"/>
    </row>
    <row r="9" spans="1:28" ht="18">
      <c r="C9" s="26"/>
      <c r="D9" s="2"/>
      <c r="E9" s="2"/>
      <c r="F9" s="2"/>
      <c r="G9" s="2"/>
      <c r="H9" s="28"/>
      <c r="I9" s="30" t="s">
        <v>115</v>
      </c>
      <c r="J9" s="64" t="s">
        <v>116</v>
      </c>
      <c r="K9" s="65"/>
      <c r="L9" s="65"/>
      <c r="M9" s="2"/>
    </row>
    <row r="10" spans="1:28" ht="16.5">
      <c r="C10" s="26"/>
      <c r="D10" s="2"/>
      <c r="E10" s="2"/>
      <c r="F10" s="2"/>
      <c r="G10" s="2"/>
      <c r="H10" s="2"/>
      <c r="I10" s="4"/>
      <c r="J10" s="19"/>
      <c r="K10" s="19"/>
      <c r="L10" s="19"/>
      <c r="M10" s="2"/>
    </row>
    <row r="11" spans="1:28">
      <c r="C11" s="26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28">
      <c r="C12" s="26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28" ht="21">
      <c r="C13" s="26"/>
      <c r="D13" s="2"/>
      <c r="E13" s="66" t="str">
        <f>Parameters!E9</f>
        <v>TechnoMax</v>
      </c>
      <c r="F13" s="66"/>
      <c r="G13" s="66"/>
      <c r="H13" s="2"/>
      <c r="I13" s="68" t="s">
        <v>62</v>
      </c>
      <c r="J13" s="68"/>
      <c r="K13" s="68"/>
      <c r="L13" s="68"/>
      <c r="M13" s="2"/>
    </row>
    <row r="14" spans="1:28" ht="21" customHeight="1">
      <c r="C14" s="26"/>
      <c r="D14" s="2"/>
      <c r="E14" s="67" t="str">
        <f>Parameters!E10</f>
        <v>5001 av. Henry-Pasta 33200 Bordeaux</v>
      </c>
      <c r="F14" s="67"/>
      <c r="G14" s="67"/>
      <c r="H14" s="18"/>
      <c r="I14" s="69" t="str">
        <f>IFERROR(VLOOKUP(I13,Clients[],2,FALSE),"")</f>
        <v>88 av. Verdier 92120 Montrouge</v>
      </c>
      <c r="J14" s="69"/>
      <c r="K14" s="69"/>
      <c r="L14" s="69"/>
      <c r="M14" s="2"/>
    </row>
    <row r="15" spans="1:28" ht="18" customHeight="1">
      <c r="C15" s="26"/>
      <c r="D15" s="2"/>
      <c r="E15" s="67" t="str">
        <f>Parameters!E11</f>
        <v>05 57 59 43 11</v>
      </c>
      <c r="F15" s="67"/>
      <c r="G15" s="67"/>
      <c r="H15" s="2"/>
      <c r="I15" s="69" t="str">
        <f>IFERROR(VLOOKUP(I13,Clients[],3,FALSE),"")</f>
        <v>01 41 17 67 18</v>
      </c>
      <c r="J15" s="69"/>
      <c r="K15" s="69"/>
      <c r="L15" s="69"/>
      <c r="M15" s="2"/>
    </row>
    <row r="16" spans="1:28" ht="18" customHeight="1">
      <c r="C16" s="26"/>
      <c r="D16" s="2"/>
      <c r="E16" s="18"/>
      <c r="F16" s="18"/>
      <c r="G16" s="2"/>
      <c r="H16" s="2"/>
      <c r="I16" s="18"/>
      <c r="J16" s="18"/>
      <c r="K16" s="2"/>
      <c r="L16" s="2"/>
      <c r="M16" s="2"/>
    </row>
    <row r="17" spans="3:13">
      <c r="C17" s="26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3:13">
      <c r="C18" s="26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3:13" ht="19.899999999999999" customHeight="1">
      <c r="C19" s="26"/>
      <c r="D19" s="2"/>
      <c r="E19" s="33" t="s">
        <v>3</v>
      </c>
      <c r="F19" s="26"/>
      <c r="G19" s="34"/>
      <c r="H19" s="33" t="s">
        <v>2</v>
      </c>
      <c r="I19" s="33" t="s">
        <v>1</v>
      </c>
      <c r="J19" s="33" t="s">
        <v>124</v>
      </c>
      <c r="K19" s="33"/>
      <c r="L19" s="33" t="s">
        <v>125</v>
      </c>
      <c r="M19" s="2"/>
    </row>
    <row r="20" spans="3:13" ht="19.899999999999999" customHeight="1">
      <c r="C20" s="26"/>
      <c r="D20" s="2"/>
      <c r="E20" s="17" t="str">
        <f>IFERROR(VLOOKUP(F20,Produits[],2,FALSE),"")</f>
        <v>F3</v>
      </c>
      <c r="F20" s="76" t="s">
        <v>28</v>
      </c>
      <c r="G20" s="76"/>
      <c r="H20" s="76"/>
      <c r="I20" s="38">
        <f>IFERROR(VLOOKUP(F20,Produits[],3,FALSE),"")</f>
        <v>1479</v>
      </c>
      <c r="J20" s="70">
        <v>2</v>
      </c>
      <c r="K20" s="70"/>
      <c r="L20" s="38">
        <f>IFERROR(I20*J20,"")</f>
        <v>2958</v>
      </c>
      <c r="M20" s="2"/>
    </row>
    <row r="21" spans="3:13" ht="19.899999999999999" customHeight="1">
      <c r="C21" s="26"/>
      <c r="D21" s="2"/>
      <c r="E21" s="35" t="str">
        <f>IFERROR(VLOOKUP(F21,Produits[],2,FALSE),"")</f>
        <v/>
      </c>
      <c r="F21" s="77"/>
      <c r="G21" s="77"/>
      <c r="H21" s="77"/>
      <c r="I21" s="39" t="str">
        <f>IFERROR(VLOOKUP(F21,Produits[],3,FALSE),"")</f>
        <v/>
      </c>
      <c r="J21" s="71"/>
      <c r="K21" s="71"/>
      <c r="L21" s="39" t="str">
        <f t="shared" ref="L21:L32" si="0">IFERROR(I21*J21,"")</f>
        <v/>
      </c>
      <c r="M21" s="2"/>
    </row>
    <row r="22" spans="3:13" ht="19.899999999999999" customHeight="1">
      <c r="C22" s="26"/>
      <c r="D22" s="2"/>
      <c r="E22" s="17" t="str">
        <f>IFERROR(VLOOKUP(F22,Produits[],2,FALSE),"")</f>
        <v/>
      </c>
      <c r="F22" s="76"/>
      <c r="G22" s="76"/>
      <c r="H22" s="76"/>
      <c r="I22" s="38" t="str">
        <f>IFERROR(VLOOKUP(F22,Produits[],3,FALSE),"")</f>
        <v/>
      </c>
      <c r="J22" s="70"/>
      <c r="K22" s="70"/>
      <c r="L22" s="38" t="str">
        <f t="shared" si="0"/>
        <v/>
      </c>
      <c r="M22" s="2"/>
    </row>
    <row r="23" spans="3:13" ht="19.899999999999999" customHeight="1">
      <c r="C23" s="26"/>
      <c r="D23" s="2"/>
      <c r="E23" s="36" t="str">
        <f>IFERROR(VLOOKUP(F23,Produits[],2,FALSE),"")</f>
        <v/>
      </c>
      <c r="F23" s="74"/>
      <c r="G23" s="74"/>
      <c r="H23" s="74"/>
      <c r="I23" s="40" t="str">
        <f>IFERROR(VLOOKUP(F23,Produits[],3,FALSE),"")</f>
        <v/>
      </c>
      <c r="J23" s="72"/>
      <c r="K23" s="72"/>
      <c r="L23" s="39" t="str">
        <f t="shared" si="0"/>
        <v/>
      </c>
      <c r="M23" s="2"/>
    </row>
    <row r="24" spans="3:13" ht="19.899999999999999" customHeight="1">
      <c r="C24" s="26"/>
      <c r="D24" s="2"/>
      <c r="E24" s="12" t="str">
        <f>IFERROR(VLOOKUP(F24,Produits[],2,FALSE),"")</f>
        <v/>
      </c>
      <c r="F24" s="75"/>
      <c r="G24" s="75"/>
      <c r="H24" s="75"/>
      <c r="I24" s="41" t="str">
        <f>IFERROR(VLOOKUP(F24,Produits[],3,FALSE),"")</f>
        <v/>
      </c>
      <c r="J24" s="73"/>
      <c r="K24" s="73"/>
      <c r="L24" s="38" t="str">
        <f t="shared" si="0"/>
        <v/>
      </c>
      <c r="M24" s="2"/>
    </row>
    <row r="25" spans="3:13" ht="19.899999999999999" customHeight="1">
      <c r="C25" s="26"/>
      <c r="D25" s="2"/>
      <c r="E25" s="36" t="str">
        <f>IFERROR(VLOOKUP(F25,Produits[],2,FALSE),"")</f>
        <v/>
      </c>
      <c r="F25" s="74"/>
      <c r="G25" s="74"/>
      <c r="H25" s="74"/>
      <c r="I25" s="40" t="str">
        <f>IFERROR(VLOOKUP(F25,Produits[],3,FALSE),"")</f>
        <v/>
      </c>
      <c r="J25" s="72"/>
      <c r="K25" s="72"/>
      <c r="L25" s="39" t="str">
        <f t="shared" si="0"/>
        <v/>
      </c>
      <c r="M25" s="18"/>
    </row>
    <row r="26" spans="3:13" ht="19.899999999999999" customHeight="1">
      <c r="C26" s="26"/>
      <c r="D26" s="2"/>
      <c r="E26" s="12" t="str">
        <f>IFERROR(VLOOKUP(F26,Produits[],2,FALSE),"")</f>
        <v/>
      </c>
      <c r="F26" s="75"/>
      <c r="G26" s="75"/>
      <c r="H26" s="75"/>
      <c r="I26" s="41" t="str">
        <f>IFERROR(VLOOKUP(F26,Produits[],3,FALSE),"")</f>
        <v/>
      </c>
      <c r="J26" s="73"/>
      <c r="K26" s="73"/>
      <c r="L26" s="38" t="str">
        <f t="shared" si="0"/>
        <v/>
      </c>
      <c r="M26" s="2"/>
    </row>
    <row r="27" spans="3:13" ht="19.899999999999999" customHeight="1">
      <c r="C27" s="26"/>
      <c r="D27" s="2"/>
      <c r="E27" s="36" t="str">
        <f>IFERROR(VLOOKUP(F27,Produits[],2,FALSE),"")</f>
        <v/>
      </c>
      <c r="F27" s="74"/>
      <c r="G27" s="74"/>
      <c r="H27" s="74"/>
      <c r="I27" s="40" t="str">
        <f>IFERROR(VLOOKUP(F27,Produits[],3,FALSE),"")</f>
        <v/>
      </c>
      <c r="J27" s="72"/>
      <c r="K27" s="72"/>
      <c r="L27" s="39" t="str">
        <f t="shared" si="0"/>
        <v/>
      </c>
      <c r="M27" s="2"/>
    </row>
    <row r="28" spans="3:13" ht="19.899999999999999" customHeight="1">
      <c r="C28" s="26"/>
      <c r="D28" s="2"/>
      <c r="E28" s="12" t="str">
        <f>IFERROR(VLOOKUP(F28,Produits[],2,FALSE),"")</f>
        <v/>
      </c>
      <c r="F28" s="75"/>
      <c r="G28" s="75"/>
      <c r="H28" s="75"/>
      <c r="I28" s="41" t="str">
        <f>IFERROR(VLOOKUP(F28,Produits[],3,FALSE),"")</f>
        <v/>
      </c>
      <c r="J28" s="73"/>
      <c r="K28" s="73"/>
      <c r="L28" s="38" t="str">
        <f t="shared" si="0"/>
        <v/>
      </c>
      <c r="M28" s="2"/>
    </row>
    <row r="29" spans="3:13" ht="19.899999999999999" customHeight="1">
      <c r="C29" s="26"/>
      <c r="D29" s="2"/>
      <c r="E29" s="36" t="str">
        <f>IFERROR(VLOOKUP(F29,Produits[],2,FALSE),"")</f>
        <v/>
      </c>
      <c r="F29" s="74"/>
      <c r="G29" s="74"/>
      <c r="H29" s="74"/>
      <c r="I29" s="40" t="str">
        <f>IFERROR(VLOOKUP(F29,Produits[],3,FALSE),"")</f>
        <v/>
      </c>
      <c r="J29" s="72"/>
      <c r="K29" s="72"/>
      <c r="L29" s="39" t="str">
        <f t="shared" si="0"/>
        <v/>
      </c>
      <c r="M29" s="2"/>
    </row>
    <row r="30" spans="3:13" ht="19.899999999999999" customHeight="1">
      <c r="C30" s="26"/>
      <c r="D30" s="2"/>
      <c r="E30" s="12" t="str">
        <f>IFERROR(VLOOKUP(F30,Produits[],2,FALSE),"")</f>
        <v/>
      </c>
      <c r="F30" s="75"/>
      <c r="G30" s="75"/>
      <c r="H30" s="75"/>
      <c r="I30" s="41" t="str">
        <f>IFERROR(VLOOKUP(F30,Produits[],3,FALSE),"")</f>
        <v/>
      </c>
      <c r="J30" s="73"/>
      <c r="K30" s="73"/>
      <c r="L30" s="38" t="str">
        <f t="shared" si="0"/>
        <v/>
      </c>
      <c r="M30" s="2"/>
    </row>
    <row r="31" spans="3:13" ht="19.899999999999999" customHeight="1">
      <c r="C31" s="26"/>
      <c r="D31" s="2"/>
      <c r="E31" s="36" t="str">
        <f>IFERROR(VLOOKUP(F31,Produits[],2,FALSE),"")</f>
        <v/>
      </c>
      <c r="F31" s="74"/>
      <c r="G31" s="74"/>
      <c r="H31" s="74"/>
      <c r="I31" s="40" t="str">
        <f>IFERROR(VLOOKUP(F31,Produits[],3,FALSE),"")</f>
        <v/>
      </c>
      <c r="J31" s="72"/>
      <c r="K31" s="72"/>
      <c r="L31" s="39" t="str">
        <f t="shared" si="0"/>
        <v/>
      </c>
      <c r="M31" s="2"/>
    </row>
    <row r="32" spans="3:13" ht="19.899999999999999" customHeight="1">
      <c r="C32" s="26"/>
      <c r="D32" s="2"/>
      <c r="E32" s="37" t="str">
        <f>IFERROR(VLOOKUP(F32,Produits[],2,FALSE),"")</f>
        <v/>
      </c>
      <c r="F32" s="79"/>
      <c r="G32" s="79"/>
      <c r="H32" s="79"/>
      <c r="I32" s="42" t="str">
        <f>IFERROR(VLOOKUP(F32,Produits[],3,FALSE),"")</f>
        <v/>
      </c>
      <c r="J32" s="82"/>
      <c r="K32" s="82"/>
      <c r="L32" s="45" t="str">
        <f t="shared" si="0"/>
        <v/>
      </c>
      <c r="M32" s="2"/>
    </row>
    <row r="33" spans="3:13" ht="10.15" customHeight="1">
      <c r="C33" s="26"/>
      <c r="D33" s="2"/>
      <c r="E33" s="24"/>
      <c r="F33" s="13"/>
      <c r="G33" s="13"/>
      <c r="H33" s="24"/>
      <c r="I33" s="24"/>
      <c r="J33" s="13"/>
      <c r="K33" s="13"/>
      <c r="L33" s="13"/>
      <c r="M33" s="2"/>
    </row>
    <row r="34" spans="3:13" ht="19.899999999999999" customHeight="1">
      <c r="C34" s="26"/>
      <c r="D34" s="2"/>
      <c r="E34" s="3"/>
      <c r="F34" s="3"/>
      <c r="G34" s="20"/>
      <c r="H34" s="20" t="s">
        <v>126</v>
      </c>
      <c r="I34" s="80" t="s">
        <v>127</v>
      </c>
      <c r="J34" s="80"/>
      <c r="K34" s="14"/>
      <c r="L34" s="14">
        <f>IFERROR(SUM(L20:L32),"")</f>
        <v>2958</v>
      </c>
      <c r="M34" s="2"/>
    </row>
    <row r="35" spans="3:13" ht="19.899999999999999" customHeight="1">
      <c r="C35" s="26"/>
      <c r="D35" s="2"/>
      <c r="E35" s="2"/>
      <c r="F35" s="2"/>
      <c r="G35" s="2"/>
      <c r="H35" s="21"/>
      <c r="I35" s="81" t="s">
        <v>128</v>
      </c>
      <c r="J35" s="81"/>
      <c r="K35" s="15"/>
      <c r="L35" s="43">
        <f>L34*20%</f>
        <v>591.6</v>
      </c>
      <c r="M35" s="2"/>
    </row>
    <row r="36" spans="3:13" ht="19.899999999999999" customHeight="1">
      <c r="C36" s="26"/>
      <c r="D36" s="2"/>
      <c r="E36" s="2"/>
      <c r="F36" s="2"/>
      <c r="G36" s="22"/>
      <c r="H36" s="22"/>
      <c r="I36" s="78" t="s">
        <v>129</v>
      </c>
      <c r="J36" s="78"/>
      <c r="K36" s="16"/>
      <c r="L36" s="16">
        <f>SUM(L34+L35)</f>
        <v>3549.6</v>
      </c>
      <c r="M36" s="2"/>
    </row>
    <row r="37" spans="3:13">
      <c r="C37" s="26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3:13">
      <c r="C38" s="26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3:13" ht="14.45" customHeight="1">
      <c r="C39" s="26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3:13" ht="14.45" customHeight="1">
      <c r="C40" s="26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3:13" ht="14.45" customHeight="1">
      <c r="C41" s="26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3:13" ht="14.45" customHeight="1">
      <c r="C42" s="26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3:13">
      <c r="C43" s="26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3:13">
      <c r="C44" s="26"/>
      <c r="D44" s="2"/>
      <c r="E44" s="2"/>
      <c r="F44" s="19"/>
      <c r="G44" s="19"/>
      <c r="H44" s="19"/>
      <c r="I44" s="19"/>
      <c r="J44" s="19"/>
      <c r="K44" s="19"/>
      <c r="L44" s="19"/>
      <c r="M44" s="2"/>
    </row>
    <row r="45" spans="3:13">
      <c r="C45" s="26"/>
      <c r="D45" s="2"/>
      <c r="E45" s="27"/>
      <c r="F45" s="44"/>
      <c r="G45" s="44"/>
      <c r="H45" s="44" t="str">
        <f>CONCATENATE("Des questions ?")</f>
        <v>Des questions ?</v>
      </c>
      <c r="I45" s="2"/>
      <c r="J45" s="19"/>
      <c r="K45" s="19"/>
      <c r="L45" s="19"/>
      <c r="M45" s="19"/>
    </row>
    <row r="46" spans="3:13" ht="14.45" customHeight="1">
      <c r="C46" s="26"/>
      <c r="D46" s="2"/>
      <c r="E46" s="27"/>
      <c r="F46" s="44"/>
      <c r="G46" s="44"/>
      <c r="H46" s="44" t="str">
        <f>CONCATENATE("Envoyer-nous un e-mail à ",Parameters!E12)</f>
        <v>Envoyer-nous un e-mail à technomax@gmail.com</v>
      </c>
      <c r="I46" s="2"/>
      <c r="J46" s="19"/>
      <c r="K46" s="19"/>
      <c r="L46" s="19"/>
      <c r="M46" s="44"/>
    </row>
    <row r="47" spans="3:13" ht="14.45" customHeight="1">
      <c r="C47" s="26"/>
      <c r="D47" s="2"/>
      <c r="E47" s="27"/>
      <c r="F47" s="44"/>
      <c r="G47" s="44"/>
      <c r="H47" s="44" t="str">
        <f>CONCATENATE("Ou appelez-nous au ", Parameters!E11)</f>
        <v>Ou appelez-nous au 05 57 59 43 11</v>
      </c>
      <c r="I47" s="2"/>
      <c r="J47" s="19"/>
      <c r="K47" s="19"/>
      <c r="L47" s="19"/>
      <c r="M47" s="44"/>
    </row>
    <row r="48" spans="3:13" ht="14.45" customHeight="1">
      <c r="C48" s="26"/>
      <c r="D48" s="2"/>
      <c r="E48" s="27"/>
      <c r="F48" s="27"/>
      <c r="G48" s="27"/>
      <c r="H48" s="27"/>
      <c r="I48" s="27"/>
      <c r="J48" s="27"/>
      <c r="K48" s="27"/>
      <c r="L48" s="27"/>
      <c r="M48" s="2"/>
    </row>
    <row r="49" spans="3:13" ht="14.45" customHeight="1">
      <c r="C49" s="26"/>
      <c r="D49" s="2"/>
      <c r="E49" s="23"/>
      <c r="F49" s="23"/>
      <c r="G49" s="23"/>
      <c r="H49" s="23"/>
      <c r="I49" s="23"/>
      <c r="J49" s="23"/>
      <c r="K49" s="23"/>
      <c r="L49" s="2"/>
      <c r="M49" s="2"/>
    </row>
    <row r="50" spans="3:13">
      <c r="C50" s="26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3:13">
      <c r="C51" s="26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3:13">
      <c r="C52" s="26"/>
      <c r="D52" s="2"/>
      <c r="E52" s="70" t="str">
        <f>CONCATENATE(Parameters!E10,"    -    ",Parameters!E13)</f>
        <v>5001 av. Henry-Pasta 33200 Bordeaux    -    www.technomax.ca</v>
      </c>
      <c r="F52" s="70"/>
      <c r="G52" s="70"/>
      <c r="H52" s="70"/>
      <c r="I52" s="70"/>
      <c r="J52" s="70"/>
      <c r="K52" s="70"/>
      <c r="L52" s="70"/>
      <c r="M52" s="2"/>
    </row>
    <row r="53" spans="3:13">
      <c r="C53" s="26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3:13">
      <c r="C54" s="26"/>
      <c r="D54" s="2"/>
      <c r="E54" s="2"/>
      <c r="F54" s="2"/>
      <c r="G54" s="2"/>
      <c r="H54" s="2"/>
      <c r="I54" s="2"/>
      <c r="J54" s="2"/>
      <c r="K54" s="2"/>
      <c r="L54" s="2"/>
      <c r="M54" s="2"/>
    </row>
  </sheetData>
  <mergeCells count="38">
    <mergeCell ref="I36:J36"/>
    <mergeCell ref="E52:L52"/>
    <mergeCell ref="F29:H29"/>
    <mergeCell ref="F30:H30"/>
    <mergeCell ref="F31:H31"/>
    <mergeCell ref="F32:H32"/>
    <mergeCell ref="I34:J34"/>
    <mergeCell ref="I35:J35"/>
    <mergeCell ref="J32:K32"/>
    <mergeCell ref="J29:K29"/>
    <mergeCell ref="J30:K30"/>
    <mergeCell ref="J31:K31"/>
    <mergeCell ref="F20:H20"/>
    <mergeCell ref="F21:H21"/>
    <mergeCell ref="F22:H22"/>
    <mergeCell ref="F23:H23"/>
    <mergeCell ref="F24:H24"/>
    <mergeCell ref="F25:H25"/>
    <mergeCell ref="F26:H26"/>
    <mergeCell ref="F27:H27"/>
    <mergeCell ref="F28:H28"/>
    <mergeCell ref="J26:K26"/>
    <mergeCell ref="J27:K27"/>
    <mergeCell ref="J28:K28"/>
    <mergeCell ref="J25:K25"/>
    <mergeCell ref="J20:K20"/>
    <mergeCell ref="J21:K21"/>
    <mergeCell ref="J22:K22"/>
    <mergeCell ref="J23:K23"/>
    <mergeCell ref="J24:K24"/>
    <mergeCell ref="J8:L8"/>
    <mergeCell ref="J9:L9"/>
    <mergeCell ref="E13:G13"/>
    <mergeCell ref="E14:G14"/>
    <mergeCell ref="E15:G15"/>
    <mergeCell ref="I13:L13"/>
    <mergeCell ref="I14:L14"/>
    <mergeCell ref="I15:L15"/>
  </mergeCells>
  <dataValidations count="2">
    <dataValidation type="list" allowBlank="1" showInputMessage="1" showErrorMessage="1" sqref="I13:L13" xr:uid="{F178D4D9-CA1D-4FF4-A00E-2F7ADF856F6D}">
      <formula1>INDIRECT("clients[nom]")</formula1>
    </dataValidation>
    <dataValidation type="list" allowBlank="1" showInputMessage="1" showErrorMessage="1" sqref="F20:H32" xr:uid="{DF11B988-661F-470A-9AE6-6AB5CA785EAB}">
      <formula1>INDIRECT("Produits[désignation]")</formula1>
    </dataValidation>
  </dataValidations>
  <pageMargins left="0" right="0" top="0" bottom="0" header="0.3" footer="0.3"/>
  <pageSetup paperSize="9" scale="7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B8767-4272-4F16-8B93-E59D10A84643}">
  <sheetPr codeName="Feuil2">
    <pageSetUpPr fitToPage="1"/>
  </sheetPr>
  <dimension ref="A1:AB54"/>
  <sheetViews>
    <sheetView showGridLines="0" tabSelected="1" workbookViewId="0">
      <selection activeCell="R9" sqref="R9"/>
    </sheetView>
  </sheetViews>
  <sheetFormatPr baseColWidth="10" defaultRowHeight="15"/>
  <cols>
    <col min="1" max="2" width="11.42578125" style="1"/>
    <col min="3" max="3" width="3.7109375" style="1" customWidth="1"/>
    <col min="4" max="4" width="5.5703125" style="1" customWidth="1"/>
    <col min="5" max="5" width="37.7109375" style="1" customWidth="1"/>
    <col min="6" max="6" width="2.42578125" style="1" customWidth="1"/>
    <col min="7" max="7" width="1.140625" style="1" hidden="1" customWidth="1"/>
    <col min="8" max="8" width="30.140625" style="1" customWidth="1"/>
    <col min="9" max="9" width="18.7109375" style="1" customWidth="1"/>
    <col min="10" max="10" width="11.5703125" style="1" customWidth="1"/>
    <col min="11" max="11" width="2.140625" style="1" customWidth="1"/>
    <col min="12" max="12" width="15.140625" style="1" customWidth="1"/>
    <col min="13" max="13" width="7.5703125" style="1" customWidth="1"/>
    <col min="14" max="14" width="8.85546875" style="1" customWidth="1"/>
    <col min="15" max="28" width="11.42578125" style="1"/>
  </cols>
  <sheetData>
    <row r="1" spans="1:28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</row>
    <row r="2" spans="1:28" ht="21">
      <c r="A2" s="2"/>
      <c r="B2" s="2"/>
      <c r="C2" s="2"/>
      <c r="D2" s="2"/>
      <c r="E2" s="25" t="str">
        <f>Parameters!E9</f>
        <v>TechnoMax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1:28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6" spans="1:28">
      <c r="C6" s="26"/>
      <c r="D6" s="2"/>
      <c r="E6" s="2"/>
      <c r="F6" s="2"/>
      <c r="G6" s="2"/>
      <c r="H6" s="2"/>
      <c r="I6" s="2"/>
      <c r="J6" s="2"/>
      <c r="K6" s="2"/>
      <c r="L6" s="2"/>
      <c r="M6" s="2"/>
    </row>
    <row r="7" spans="1:28">
      <c r="C7" s="26"/>
      <c r="D7" s="2"/>
      <c r="E7" s="2"/>
      <c r="F7" s="2"/>
      <c r="G7" s="2"/>
      <c r="H7" s="2"/>
      <c r="I7" s="2"/>
      <c r="J7" s="2"/>
      <c r="K7" s="2"/>
      <c r="L7" s="2"/>
      <c r="M7" s="2"/>
    </row>
    <row r="8" spans="1:28" ht="18">
      <c r="C8" s="26"/>
      <c r="D8" s="2"/>
      <c r="E8" s="2"/>
      <c r="F8" s="2"/>
      <c r="G8" s="2"/>
      <c r="H8" s="28"/>
      <c r="I8" s="30" t="s">
        <v>114</v>
      </c>
      <c r="J8" s="63">
        <f ca="1">TODAY()</f>
        <v>45193</v>
      </c>
      <c r="K8" s="63"/>
      <c r="L8" s="63"/>
      <c r="M8" s="2"/>
    </row>
    <row r="9" spans="1:28" ht="18">
      <c r="C9" s="26"/>
      <c r="D9" s="2"/>
      <c r="E9" s="2"/>
      <c r="F9" s="2"/>
      <c r="G9" s="2"/>
      <c r="H9" s="28"/>
      <c r="I9" s="30" t="s">
        <v>115</v>
      </c>
      <c r="J9" s="64" t="s">
        <v>138</v>
      </c>
      <c r="K9" s="65"/>
      <c r="L9" s="65"/>
      <c r="M9" s="2"/>
    </row>
    <row r="10" spans="1:28" ht="16.5">
      <c r="C10" s="26"/>
      <c r="D10" s="2"/>
      <c r="E10" s="2"/>
      <c r="F10" s="2"/>
      <c r="G10" s="2"/>
      <c r="H10" s="2"/>
      <c r="I10" s="4"/>
      <c r="J10" s="19"/>
      <c r="K10" s="19"/>
      <c r="L10" s="19"/>
      <c r="M10" s="2"/>
    </row>
    <row r="11" spans="1:28">
      <c r="C11" s="26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28">
      <c r="C12" s="26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28" ht="21">
      <c r="C13" s="26"/>
      <c r="D13" s="2"/>
      <c r="E13" s="66" t="str">
        <f>Parameters!E9</f>
        <v>TechnoMax</v>
      </c>
      <c r="F13" s="66"/>
      <c r="G13" s="66"/>
      <c r="H13" s="2"/>
      <c r="I13" s="68"/>
      <c r="J13" s="68"/>
      <c r="K13" s="68"/>
      <c r="L13" s="68"/>
      <c r="M13" s="2"/>
    </row>
    <row r="14" spans="1:28" ht="16.5">
      <c r="C14" s="26"/>
      <c r="D14" s="2"/>
      <c r="E14" s="67" t="str">
        <f>Parameters!E10</f>
        <v>5001 av. Henry-Pasta 33200 Bordeaux</v>
      </c>
      <c r="F14" s="67"/>
      <c r="G14" s="67"/>
      <c r="H14" s="18"/>
      <c r="I14" s="69" t="str">
        <f>IFERROR(VLOOKUP(I13,Clients[],2,FALSE),"")</f>
        <v/>
      </c>
      <c r="J14" s="69"/>
      <c r="K14" s="69"/>
      <c r="L14" s="69"/>
      <c r="M14" s="2"/>
    </row>
    <row r="15" spans="1:28" ht="16.5">
      <c r="C15" s="26"/>
      <c r="D15" s="2"/>
      <c r="E15" s="67" t="str">
        <f>Parameters!E11</f>
        <v>05 57 59 43 11</v>
      </c>
      <c r="F15" s="67"/>
      <c r="G15" s="67"/>
      <c r="H15" s="2"/>
      <c r="I15" s="69" t="str">
        <f>IFERROR(VLOOKUP(I13,Clients[],3,FALSE),"")</f>
        <v/>
      </c>
      <c r="J15" s="69"/>
      <c r="K15" s="69"/>
      <c r="L15" s="69"/>
      <c r="M15" s="2"/>
    </row>
    <row r="16" spans="1:28">
      <c r="C16" s="26"/>
      <c r="D16" s="2"/>
      <c r="E16" s="18"/>
      <c r="F16" s="18"/>
      <c r="G16" s="2"/>
      <c r="H16" s="2"/>
      <c r="I16" s="18"/>
      <c r="J16" s="18"/>
      <c r="K16" s="2"/>
      <c r="L16" s="2"/>
      <c r="M16" s="2"/>
    </row>
    <row r="17" spans="3:13">
      <c r="C17" s="26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3:13">
      <c r="C18" s="26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3:13" ht="16.5">
      <c r="C19" s="26"/>
      <c r="D19" s="2"/>
      <c r="E19" s="33" t="s">
        <v>3</v>
      </c>
      <c r="F19" s="26"/>
      <c r="G19" s="34"/>
      <c r="H19" s="33" t="s">
        <v>2</v>
      </c>
      <c r="I19" s="33" t="s">
        <v>1</v>
      </c>
      <c r="J19" s="33" t="s">
        <v>124</v>
      </c>
      <c r="K19" s="33"/>
      <c r="L19" s="33" t="s">
        <v>125</v>
      </c>
      <c r="M19" s="2"/>
    </row>
    <row r="20" spans="3:13">
      <c r="C20" s="26"/>
      <c r="D20" s="2"/>
      <c r="E20" s="17" t="str">
        <f>IFERROR(VLOOKUP(F20,Produits[],2,FALSE),"")</f>
        <v/>
      </c>
      <c r="F20" s="76"/>
      <c r="G20" s="76"/>
      <c r="H20" s="76"/>
      <c r="I20" s="38" t="str">
        <f>IFERROR(VLOOKUP(F20,Produits[],3,FALSE),"")</f>
        <v/>
      </c>
      <c r="J20" s="70"/>
      <c r="K20" s="70"/>
      <c r="L20" s="38" t="str">
        <f>IFERROR(I20*J20,"")</f>
        <v/>
      </c>
      <c r="M20" s="2"/>
    </row>
    <row r="21" spans="3:13">
      <c r="C21" s="26"/>
      <c r="D21" s="2"/>
      <c r="E21" s="35" t="str">
        <f>IFERROR(VLOOKUP(F21,Produits[],2,FALSE),"")</f>
        <v/>
      </c>
      <c r="F21" s="77"/>
      <c r="G21" s="77"/>
      <c r="H21" s="77"/>
      <c r="I21" s="39" t="str">
        <f>IFERROR(VLOOKUP(F21,Produits[],3,FALSE),"")</f>
        <v/>
      </c>
      <c r="J21" s="71"/>
      <c r="K21" s="71"/>
      <c r="L21" s="39" t="str">
        <f t="shared" ref="L21:L32" si="0">IFERROR(I21*J21,"")</f>
        <v/>
      </c>
      <c r="M21" s="2"/>
    </row>
    <row r="22" spans="3:13">
      <c r="C22" s="26"/>
      <c r="D22" s="2"/>
      <c r="E22" s="17" t="str">
        <f>IFERROR(VLOOKUP(F22,Produits[],2,FALSE),"")</f>
        <v/>
      </c>
      <c r="F22" s="76"/>
      <c r="G22" s="76"/>
      <c r="H22" s="76"/>
      <c r="I22" s="38" t="str">
        <f>IFERROR(VLOOKUP(F22,Produits[],3,FALSE),"")</f>
        <v/>
      </c>
      <c r="J22" s="70"/>
      <c r="K22" s="70"/>
      <c r="L22" s="38" t="str">
        <f t="shared" si="0"/>
        <v/>
      </c>
      <c r="M22" s="2"/>
    </row>
    <row r="23" spans="3:13">
      <c r="C23" s="26"/>
      <c r="D23" s="2"/>
      <c r="E23" s="36" t="str">
        <f>IFERROR(VLOOKUP(F23,Produits[],2,FALSE),"")</f>
        <v/>
      </c>
      <c r="F23" s="74"/>
      <c r="G23" s="74"/>
      <c r="H23" s="74"/>
      <c r="I23" s="40" t="str">
        <f>IFERROR(VLOOKUP(F23,Produits[],3,FALSE),"")</f>
        <v/>
      </c>
      <c r="J23" s="72"/>
      <c r="K23" s="72"/>
      <c r="L23" s="39" t="str">
        <f t="shared" si="0"/>
        <v/>
      </c>
      <c r="M23" s="2"/>
    </row>
    <row r="24" spans="3:13">
      <c r="C24" s="26"/>
      <c r="D24" s="2"/>
      <c r="E24" s="12" t="str">
        <f>IFERROR(VLOOKUP(F24,Produits[],2,FALSE),"")</f>
        <v/>
      </c>
      <c r="F24" s="75"/>
      <c r="G24" s="75"/>
      <c r="H24" s="75"/>
      <c r="I24" s="41" t="str">
        <f>IFERROR(VLOOKUP(F24,Produits[],3,FALSE),"")</f>
        <v/>
      </c>
      <c r="J24" s="73"/>
      <c r="K24" s="73"/>
      <c r="L24" s="38" t="str">
        <f t="shared" si="0"/>
        <v/>
      </c>
      <c r="M24" s="2"/>
    </row>
    <row r="25" spans="3:13">
      <c r="C25" s="26"/>
      <c r="D25" s="2"/>
      <c r="E25" s="36" t="str">
        <f>IFERROR(VLOOKUP(F25,Produits[],2,FALSE),"")</f>
        <v/>
      </c>
      <c r="F25" s="74"/>
      <c r="G25" s="74"/>
      <c r="H25" s="74"/>
      <c r="I25" s="40" t="str">
        <f>IFERROR(VLOOKUP(F25,Produits[],3,FALSE),"")</f>
        <v/>
      </c>
      <c r="J25" s="72"/>
      <c r="K25" s="72"/>
      <c r="L25" s="39" t="str">
        <f t="shared" si="0"/>
        <v/>
      </c>
      <c r="M25" s="18"/>
    </row>
    <row r="26" spans="3:13">
      <c r="C26" s="26"/>
      <c r="D26" s="2"/>
      <c r="E26" s="12" t="str">
        <f>IFERROR(VLOOKUP(F26,Produits[],2,FALSE),"")</f>
        <v/>
      </c>
      <c r="F26" s="75"/>
      <c r="G26" s="75"/>
      <c r="H26" s="75"/>
      <c r="I26" s="41" t="str">
        <f>IFERROR(VLOOKUP(F26,Produits[],3,FALSE),"")</f>
        <v/>
      </c>
      <c r="J26" s="73"/>
      <c r="K26" s="73"/>
      <c r="L26" s="38" t="str">
        <f t="shared" si="0"/>
        <v/>
      </c>
      <c r="M26" s="2"/>
    </row>
    <row r="27" spans="3:13">
      <c r="C27" s="26"/>
      <c r="D27" s="2"/>
      <c r="E27" s="36" t="str">
        <f>IFERROR(VLOOKUP(F27,Produits[],2,FALSE),"")</f>
        <v/>
      </c>
      <c r="F27" s="74"/>
      <c r="G27" s="74"/>
      <c r="H27" s="74"/>
      <c r="I27" s="40" t="str">
        <f>IFERROR(VLOOKUP(F27,Produits[],3,FALSE),"")</f>
        <v/>
      </c>
      <c r="J27" s="72"/>
      <c r="K27" s="72"/>
      <c r="L27" s="39" t="str">
        <f t="shared" si="0"/>
        <v/>
      </c>
      <c r="M27" s="2"/>
    </row>
    <row r="28" spans="3:13">
      <c r="C28" s="26"/>
      <c r="D28" s="2"/>
      <c r="E28" s="12" t="str">
        <f>IFERROR(VLOOKUP(F28,Produits[],2,FALSE),"")</f>
        <v/>
      </c>
      <c r="F28" s="75"/>
      <c r="G28" s="75"/>
      <c r="H28" s="75"/>
      <c r="I28" s="41" t="str">
        <f>IFERROR(VLOOKUP(F28,Produits[],3,FALSE),"")</f>
        <v/>
      </c>
      <c r="J28" s="73"/>
      <c r="K28" s="73"/>
      <c r="L28" s="38" t="str">
        <f t="shared" si="0"/>
        <v/>
      </c>
      <c r="M28" s="2"/>
    </row>
    <row r="29" spans="3:13">
      <c r="C29" s="26"/>
      <c r="D29" s="2"/>
      <c r="E29" s="36" t="str">
        <f>IFERROR(VLOOKUP(F29,Produits[],2,FALSE),"")</f>
        <v/>
      </c>
      <c r="F29" s="74"/>
      <c r="G29" s="74"/>
      <c r="H29" s="74"/>
      <c r="I29" s="40" t="str">
        <f>IFERROR(VLOOKUP(F29,Produits[],3,FALSE),"")</f>
        <v/>
      </c>
      <c r="J29" s="72"/>
      <c r="K29" s="72"/>
      <c r="L29" s="39" t="str">
        <f t="shared" si="0"/>
        <v/>
      </c>
      <c r="M29" s="2"/>
    </row>
    <row r="30" spans="3:13">
      <c r="C30" s="26"/>
      <c r="D30" s="2"/>
      <c r="E30" s="12" t="str">
        <f>IFERROR(VLOOKUP(F30,Produits[],2,FALSE),"")</f>
        <v/>
      </c>
      <c r="F30" s="75"/>
      <c r="G30" s="75"/>
      <c r="H30" s="75"/>
      <c r="I30" s="41" t="str">
        <f>IFERROR(VLOOKUP(F30,Produits[],3,FALSE),"")</f>
        <v/>
      </c>
      <c r="J30" s="73"/>
      <c r="K30" s="73"/>
      <c r="L30" s="38" t="str">
        <f t="shared" si="0"/>
        <v/>
      </c>
      <c r="M30" s="2"/>
    </row>
    <row r="31" spans="3:13">
      <c r="C31" s="26"/>
      <c r="D31" s="2"/>
      <c r="E31" s="36" t="str">
        <f>IFERROR(VLOOKUP(F31,Produits[],2,FALSE),"")</f>
        <v/>
      </c>
      <c r="F31" s="74"/>
      <c r="G31" s="74"/>
      <c r="H31" s="74"/>
      <c r="I31" s="40" t="str">
        <f>IFERROR(VLOOKUP(F31,Produits[],3,FALSE),"")</f>
        <v/>
      </c>
      <c r="J31" s="72"/>
      <c r="K31" s="72"/>
      <c r="L31" s="39" t="str">
        <f t="shared" si="0"/>
        <v/>
      </c>
      <c r="M31" s="2"/>
    </row>
    <row r="32" spans="3:13">
      <c r="C32" s="26"/>
      <c r="D32" s="2"/>
      <c r="E32" s="37" t="str">
        <f>IFERROR(VLOOKUP(F32,Produits[],2,FALSE),"")</f>
        <v/>
      </c>
      <c r="F32" s="79"/>
      <c r="G32" s="79"/>
      <c r="H32" s="79"/>
      <c r="I32" s="42" t="str">
        <f>IFERROR(VLOOKUP(F32,Produits[],3,FALSE),"")</f>
        <v/>
      </c>
      <c r="J32" s="82"/>
      <c r="K32" s="82"/>
      <c r="L32" s="45" t="str">
        <f t="shared" si="0"/>
        <v/>
      </c>
      <c r="M32" s="2"/>
    </row>
    <row r="33" spans="3:13">
      <c r="C33" s="26"/>
      <c r="D33" s="2"/>
      <c r="E33" s="24"/>
      <c r="F33" s="13"/>
      <c r="G33" s="13"/>
      <c r="H33" s="24"/>
      <c r="I33" s="24"/>
      <c r="J33" s="13"/>
      <c r="K33" s="13"/>
      <c r="L33" s="13"/>
      <c r="M33" s="2"/>
    </row>
    <row r="34" spans="3:13">
      <c r="C34" s="26"/>
      <c r="D34" s="2"/>
      <c r="E34" s="3"/>
      <c r="F34" s="3"/>
      <c r="G34" s="20"/>
      <c r="H34" s="20" t="s">
        <v>126</v>
      </c>
      <c r="I34" s="80" t="s">
        <v>127</v>
      </c>
      <c r="J34" s="80"/>
      <c r="K34" s="14"/>
      <c r="L34" s="14">
        <f>IFERROR(SUM(L20:L32),"")</f>
        <v>0</v>
      </c>
      <c r="M34" s="2"/>
    </row>
    <row r="35" spans="3:13">
      <c r="C35" s="26"/>
      <c r="D35" s="2"/>
      <c r="E35" s="2"/>
      <c r="F35" s="2"/>
      <c r="G35" s="2"/>
      <c r="H35" s="21"/>
      <c r="I35" s="81" t="s">
        <v>128</v>
      </c>
      <c r="J35" s="81"/>
      <c r="K35" s="15"/>
      <c r="L35" s="43">
        <f>L34*20%</f>
        <v>0</v>
      </c>
      <c r="M35" s="2"/>
    </row>
    <row r="36" spans="3:13">
      <c r="C36" s="26"/>
      <c r="D36" s="2"/>
      <c r="E36" s="2"/>
      <c r="F36" s="2"/>
      <c r="G36" s="22"/>
      <c r="H36" s="22"/>
      <c r="I36" s="78" t="s">
        <v>129</v>
      </c>
      <c r="J36" s="78"/>
      <c r="K36" s="16"/>
      <c r="L36" s="16">
        <f>SUM(L34+L35)</f>
        <v>0</v>
      </c>
      <c r="M36" s="2"/>
    </row>
    <row r="37" spans="3:13">
      <c r="C37" s="26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3:13">
      <c r="C38" s="26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3:13">
      <c r="C39" s="26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3:13">
      <c r="C40" s="26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3:13">
      <c r="C41" s="26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3:13">
      <c r="C42" s="26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3:13">
      <c r="C43" s="26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3:13">
      <c r="C44" s="26"/>
      <c r="D44" s="2"/>
      <c r="E44" s="2"/>
      <c r="F44" s="19"/>
      <c r="G44" s="19"/>
      <c r="H44" s="19"/>
      <c r="I44" s="19"/>
      <c r="J44" s="19"/>
      <c r="K44" s="19"/>
      <c r="L44" s="19"/>
      <c r="M44" s="2"/>
    </row>
    <row r="45" spans="3:13">
      <c r="C45" s="26"/>
      <c r="D45" s="2"/>
      <c r="E45" s="27"/>
      <c r="F45" s="44"/>
      <c r="G45" s="44"/>
      <c r="H45" s="44" t="str">
        <f>CONCATENATE("Des questions ?")</f>
        <v>Des questions ?</v>
      </c>
      <c r="I45" s="2"/>
      <c r="J45" s="19"/>
      <c r="K45" s="19"/>
      <c r="L45" s="19"/>
      <c r="M45" s="19"/>
    </row>
    <row r="46" spans="3:13">
      <c r="C46" s="26"/>
      <c r="D46" s="2"/>
      <c r="E46" s="27"/>
      <c r="F46" s="44"/>
      <c r="G46" s="44"/>
      <c r="H46" s="44" t="str">
        <f>CONCATENATE("Envoyer-nous un e-mail à ",Parameters!E12)</f>
        <v>Envoyer-nous un e-mail à technomax@gmail.com</v>
      </c>
      <c r="I46" s="2"/>
      <c r="J46" s="19"/>
      <c r="K46" s="19"/>
      <c r="L46" s="19"/>
      <c r="M46" s="44"/>
    </row>
    <row r="47" spans="3:13">
      <c r="C47" s="26"/>
      <c r="D47" s="2"/>
      <c r="E47" s="27"/>
      <c r="F47" s="44"/>
      <c r="G47" s="44"/>
      <c r="H47" s="44" t="str">
        <f>CONCATENATE("Ou appelez-nous au ", Parameters!E11)</f>
        <v>Ou appelez-nous au 05 57 59 43 11</v>
      </c>
      <c r="I47" s="2"/>
      <c r="J47" s="19"/>
      <c r="K47" s="19"/>
      <c r="L47" s="19"/>
      <c r="M47" s="44"/>
    </row>
    <row r="48" spans="3:13">
      <c r="C48" s="26"/>
      <c r="D48" s="2"/>
      <c r="E48" s="27"/>
      <c r="F48" s="27"/>
      <c r="G48" s="27"/>
      <c r="H48" s="27"/>
      <c r="I48" s="27"/>
      <c r="J48" s="27"/>
      <c r="K48" s="27"/>
      <c r="L48" s="27"/>
      <c r="M48" s="2"/>
    </row>
    <row r="49" spans="3:13">
      <c r="C49" s="26"/>
      <c r="D49" s="2"/>
      <c r="E49" s="23"/>
      <c r="F49" s="23"/>
      <c r="G49" s="23"/>
      <c r="H49" s="23"/>
      <c r="I49" s="23"/>
      <c r="J49" s="23"/>
      <c r="K49" s="23"/>
      <c r="L49" s="2"/>
      <c r="M49" s="2"/>
    </row>
    <row r="50" spans="3:13">
      <c r="C50" s="26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3:13">
      <c r="C51" s="26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3:13">
      <c r="C52" s="26"/>
      <c r="D52" s="2"/>
      <c r="E52" s="70" t="str">
        <f>CONCATENATE(Parameters!E10,"    -    ",Parameters!E13)</f>
        <v>5001 av. Henry-Pasta 33200 Bordeaux    -    www.technomax.ca</v>
      </c>
      <c r="F52" s="70"/>
      <c r="G52" s="70"/>
      <c r="H52" s="70"/>
      <c r="I52" s="70"/>
      <c r="J52" s="70"/>
      <c r="K52" s="70"/>
      <c r="L52" s="70"/>
      <c r="M52" s="2"/>
    </row>
    <row r="53" spans="3:13">
      <c r="C53" s="26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3:13">
      <c r="C54" s="26"/>
      <c r="D54" s="2"/>
      <c r="E54" s="2"/>
      <c r="F54" s="2"/>
      <c r="G54" s="2"/>
      <c r="H54" s="2"/>
      <c r="I54" s="2"/>
      <c r="J54" s="2"/>
      <c r="K54" s="2"/>
      <c r="L54" s="2"/>
      <c r="M54" s="2"/>
    </row>
  </sheetData>
  <mergeCells count="38">
    <mergeCell ref="I36:J36"/>
    <mergeCell ref="E52:L52"/>
    <mergeCell ref="F31:H31"/>
    <mergeCell ref="J31:K31"/>
    <mergeCell ref="F32:H32"/>
    <mergeCell ref="J32:K32"/>
    <mergeCell ref="I34:J34"/>
    <mergeCell ref="I35:J35"/>
    <mergeCell ref="F28:H28"/>
    <mergeCell ref="J28:K28"/>
    <mergeCell ref="F29:H29"/>
    <mergeCell ref="J29:K29"/>
    <mergeCell ref="F30:H30"/>
    <mergeCell ref="J30:K30"/>
    <mergeCell ref="F25:H25"/>
    <mergeCell ref="J25:K25"/>
    <mergeCell ref="F26:H26"/>
    <mergeCell ref="J26:K26"/>
    <mergeCell ref="F27:H27"/>
    <mergeCell ref="J27:K27"/>
    <mergeCell ref="F22:H22"/>
    <mergeCell ref="J22:K22"/>
    <mergeCell ref="F23:H23"/>
    <mergeCell ref="J23:K23"/>
    <mergeCell ref="F24:H24"/>
    <mergeCell ref="J24:K24"/>
    <mergeCell ref="E15:G15"/>
    <mergeCell ref="I15:L15"/>
    <mergeCell ref="F20:H20"/>
    <mergeCell ref="J20:K20"/>
    <mergeCell ref="F21:H21"/>
    <mergeCell ref="J21:K21"/>
    <mergeCell ref="J8:L8"/>
    <mergeCell ref="J9:L9"/>
    <mergeCell ref="E13:G13"/>
    <mergeCell ref="I13:L13"/>
    <mergeCell ref="E14:G14"/>
    <mergeCell ref="I14:L14"/>
  </mergeCells>
  <dataValidations count="2">
    <dataValidation type="list" allowBlank="1" showInputMessage="1" showErrorMessage="1" sqref="F20:H32" xr:uid="{7EE3FBF8-8B40-4CBF-BE92-BE282441D0C5}">
      <formula1>INDIRECT("Produits[désignation]")</formula1>
    </dataValidation>
    <dataValidation type="list" allowBlank="1" showInputMessage="1" showErrorMessage="1" sqref="I13:L13" xr:uid="{020D275B-2448-4D7F-AC08-8282C836B280}">
      <formula1>INDIRECT("clients[nom]")</formula1>
    </dataValidation>
  </dataValidations>
  <pageMargins left="0" right="0" top="0" bottom="0" header="0.3" footer="0.3"/>
  <pageSetup paperSize="9" scale="75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E8FE5-DC4D-4300-ACD9-9FCE39D377C8}">
  <sheetPr codeName="Feuil4">
    <pageSetUpPr fitToPage="1"/>
  </sheetPr>
  <dimension ref="A1:AB54"/>
  <sheetViews>
    <sheetView showGridLines="0" workbookViewId="0">
      <selection activeCell="S26" sqref="S26"/>
    </sheetView>
  </sheetViews>
  <sheetFormatPr baseColWidth="10" defaultRowHeight="15"/>
  <cols>
    <col min="1" max="2" width="11.42578125" style="1"/>
    <col min="3" max="3" width="3.7109375" style="1" customWidth="1"/>
    <col min="4" max="4" width="5.5703125" style="1" customWidth="1"/>
    <col min="5" max="5" width="37.7109375" style="1" customWidth="1"/>
    <col min="6" max="6" width="2.42578125" style="1" customWidth="1"/>
    <col min="7" max="7" width="1.140625" style="1" hidden="1" customWidth="1"/>
    <col min="8" max="8" width="30.140625" style="1" customWidth="1"/>
    <col min="9" max="9" width="18.7109375" style="1" customWidth="1"/>
    <col min="10" max="10" width="11.5703125" style="1" customWidth="1"/>
    <col min="11" max="11" width="2.140625" style="1" customWidth="1"/>
    <col min="12" max="12" width="15.140625" style="1" customWidth="1"/>
    <col min="13" max="13" width="7.5703125" style="1" customWidth="1"/>
    <col min="14" max="14" width="8.85546875" style="1" customWidth="1"/>
    <col min="15" max="28" width="11.42578125" style="1"/>
  </cols>
  <sheetData>
    <row r="1" spans="1:28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</row>
    <row r="2" spans="1:28" ht="21">
      <c r="A2" s="2"/>
      <c r="B2" s="2"/>
      <c r="C2" s="2"/>
      <c r="D2" s="2"/>
      <c r="E2" s="25" t="str">
        <f>Parameters!E9</f>
        <v>TechnoMax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1:28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6" spans="1:28">
      <c r="C6" s="26"/>
      <c r="D6" s="2"/>
      <c r="E6" s="2"/>
      <c r="F6" s="2"/>
      <c r="G6" s="2"/>
      <c r="H6" s="2"/>
      <c r="I6" s="2"/>
      <c r="J6" s="2"/>
      <c r="K6" s="2"/>
      <c r="L6" s="2"/>
      <c r="M6" s="2"/>
    </row>
    <row r="7" spans="1:28">
      <c r="C7" s="26"/>
      <c r="D7" s="2"/>
      <c r="E7" s="2"/>
      <c r="F7" s="2"/>
      <c r="G7" s="2"/>
      <c r="H7" s="2"/>
      <c r="I7" s="2"/>
      <c r="J7" s="2"/>
      <c r="K7" s="2"/>
      <c r="L7" s="2"/>
      <c r="M7" s="2"/>
    </row>
    <row r="8" spans="1:28" ht="18">
      <c r="C8" s="26"/>
      <c r="D8" s="2"/>
      <c r="E8" s="2"/>
      <c r="F8" s="2"/>
      <c r="G8" s="2"/>
      <c r="H8" s="28"/>
      <c r="I8" s="30" t="s">
        <v>114</v>
      </c>
      <c r="J8" s="63">
        <f ca="1">TODAY()</f>
        <v>45193</v>
      </c>
      <c r="K8" s="63"/>
      <c r="L8" s="63"/>
      <c r="M8" s="2"/>
    </row>
    <row r="9" spans="1:28" ht="18">
      <c r="C9" s="26"/>
      <c r="D9" s="2"/>
      <c r="E9" s="2"/>
      <c r="F9" s="2"/>
      <c r="G9" s="2"/>
      <c r="H9" s="28"/>
      <c r="I9" s="30" t="s">
        <v>115</v>
      </c>
      <c r="J9" s="64" t="s">
        <v>139</v>
      </c>
      <c r="K9" s="65"/>
      <c r="L9" s="65"/>
      <c r="M9" s="2"/>
    </row>
    <row r="10" spans="1:28" ht="16.5">
      <c r="C10" s="26"/>
      <c r="D10" s="2"/>
      <c r="E10" s="2"/>
      <c r="F10" s="2"/>
      <c r="G10" s="2"/>
      <c r="H10" s="2"/>
      <c r="I10" s="4"/>
      <c r="J10" s="19"/>
      <c r="K10" s="19"/>
      <c r="L10" s="19"/>
      <c r="M10" s="2"/>
    </row>
    <row r="11" spans="1:28">
      <c r="C11" s="26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28">
      <c r="C12" s="26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28" ht="21">
      <c r="C13" s="26"/>
      <c r="D13" s="2"/>
      <c r="E13" s="66" t="str">
        <f>Parameters!E9</f>
        <v>TechnoMax</v>
      </c>
      <c r="F13" s="66"/>
      <c r="G13" s="66"/>
      <c r="H13" s="2"/>
      <c r="I13" s="68"/>
      <c r="J13" s="68"/>
      <c r="K13" s="68"/>
      <c r="L13" s="68"/>
      <c r="M13" s="2"/>
    </row>
    <row r="14" spans="1:28" ht="16.5">
      <c r="C14" s="26"/>
      <c r="D14" s="2"/>
      <c r="E14" s="67" t="str">
        <f>Parameters!E10</f>
        <v>5001 av. Henry-Pasta 33200 Bordeaux</v>
      </c>
      <c r="F14" s="67"/>
      <c r="G14" s="67"/>
      <c r="H14" s="18"/>
      <c r="I14" s="69" t="str">
        <f>IFERROR(VLOOKUP(I13,Clients[],2,FALSE),"")</f>
        <v/>
      </c>
      <c r="J14" s="69"/>
      <c r="K14" s="69"/>
      <c r="L14" s="69"/>
      <c r="M14" s="2"/>
    </row>
    <row r="15" spans="1:28" ht="16.5">
      <c r="C15" s="26"/>
      <c r="D15" s="2"/>
      <c r="E15" s="67" t="str">
        <f>Parameters!E11</f>
        <v>05 57 59 43 11</v>
      </c>
      <c r="F15" s="67"/>
      <c r="G15" s="67"/>
      <c r="H15" s="2"/>
      <c r="I15" s="69" t="str">
        <f>IFERROR(VLOOKUP(I13,Clients[],3,FALSE),"")</f>
        <v/>
      </c>
      <c r="J15" s="69"/>
      <c r="K15" s="69"/>
      <c r="L15" s="69"/>
      <c r="M15" s="2"/>
    </row>
    <row r="16" spans="1:28">
      <c r="C16" s="26"/>
      <c r="D16" s="2"/>
      <c r="E16" s="18"/>
      <c r="F16" s="18"/>
      <c r="G16" s="2"/>
      <c r="H16" s="2"/>
      <c r="I16" s="18"/>
      <c r="J16" s="18"/>
      <c r="K16" s="2"/>
      <c r="L16" s="2"/>
      <c r="M16" s="2"/>
    </row>
    <row r="17" spans="3:13">
      <c r="C17" s="26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3:13">
      <c r="C18" s="26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3:13" ht="16.5">
      <c r="C19" s="26"/>
      <c r="D19" s="2"/>
      <c r="E19" s="33" t="s">
        <v>3</v>
      </c>
      <c r="F19" s="26"/>
      <c r="G19" s="34"/>
      <c r="H19" s="33" t="s">
        <v>2</v>
      </c>
      <c r="I19" s="33" t="s">
        <v>1</v>
      </c>
      <c r="J19" s="33" t="s">
        <v>124</v>
      </c>
      <c r="K19" s="33"/>
      <c r="L19" s="33" t="s">
        <v>125</v>
      </c>
      <c r="M19" s="2"/>
    </row>
    <row r="20" spans="3:13">
      <c r="C20" s="26"/>
      <c r="D20" s="2"/>
      <c r="E20" s="17" t="str">
        <f>IFERROR(VLOOKUP(F20,Produits[],2,FALSE),"")</f>
        <v>F1</v>
      </c>
      <c r="F20" s="76" t="s">
        <v>26</v>
      </c>
      <c r="G20" s="76"/>
      <c r="H20" s="76"/>
      <c r="I20" s="38">
        <f>IFERROR(VLOOKUP(F20,Produits[],3,FALSE),"")</f>
        <v>999</v>
      </c>
      <c r="J20" s="70"/>
      <c r="K20" s="70"/>
      <c r="L20" s="38">
        <f>IFERROR(I20*J20,"")</f>
        <v>0</v>
      </c>
      <c r="M20" s="2"/>
    </row>
    <row r="21" spans="3:13">
      <c r="C21" s="26"/>
      <c r="D21" s="2"/>
      <c r="E21" s="35" t="str">
        <f>IFERROR(VLOOKUP(F21,Produits[],2,FALSE),"")</f>
        <v/>
      </c>
      <c r="F21" s="77"/>
      <c r="G21" s="77"/>
      <c r="H21" s="77"/>
      <c r="I21" s="39" t="str">
        <f>IFERROR(VLOOKUP(F21,Produits[],3,FALSE),"")</f>
        <v/>
      </c>
      <c r="J21" s="71"/>
      <c r="K21" s="71"/>
      <c r="L21" s="39" t="str">
        <f t="shared" ref="L21:L32" si="0">IFERROR(I21*J21,"")</f>
        <v/>
      </c>
      <c r="M21" s="2"/>
    </row>
    <row r="22" spans="3:13">
      <c r="C22" s="26"/>
      <c r="D22" s="2"/>
      <c r="E22" s="17" t="str">
        <f>IFERROR(VLOOKUP(F22,Produits[],2,FALSE),"")</f>
        <v/>
      </c>
      <c r="F22" s="76"/>
      <c r="G22" s="76"/>
      <c r="H22" s="76"/>
      <c r="I22" s="38" t="str">
        <f>IFERROR(VLOOKUP(F22,Produits[],3,FALSE),"")</f>
        <v/>
      </c>
      <c r="J22" s="70"/>
      <c r="K22" s="70"/>
      <c r="L22" s="38" t="str">
        <f t="shared" si="0"/>
        <v/>
      </c>
      <c r="M22" s="2"/>
    </row>
    <row r="23" spans="3:13">
      <c r="C23" s="26"/>
      <c r="D23" s="2"/>
      <c r="E23" s="36" t="str">
        <f>IFERROR(VLOOKUP(F23,Produits[],2,FALSE),"")</f>
        <v/>
      </c>
      <c r="F23" s="74"/>
      <c r="G23" s="74"/>
      <c r="H23" s="74"/>
      <c r="I23" s="40" t="str">
        <f>IFERROR(VLOOKUP(F23,Produits[],3,FALSE),"")</f>
        <v/>
      </c>
      <c r="J23" s="72"/>
      <c r="K23" s="72"/>
      <c r="L23" s="39" t="str">
        <f t="shared" si="0"/>
        <v/>
      </c>
      <c r="M23" s="2"/>
    </row>
    <row r="24" spans="3:13">
      <c r="C24" s="26"/>
      <c r="D24" s="2"/>
      <c r="E24" s="12" t="str">
        <f>IFERROR(VLOOKUP(F24,Produits[],2,FALSE),"")</f>
        <v/>
      </c>
      <c r="F24" s="75"/>
      <c r="G24" s="75"/>
      <c r="H24" s="75"/>
      <c r="I24" s="41" t="str">
        <f>IFERROR(VLOOKUP(F24,Produits[],3,FALSE),"")</f>
        <v/>
      </c>
      <c r="J24" s="73"/>
      <c r="K24" s="73"/>
      <c r="L24" s="38" t="str">
        <f t="shared" si="0"/>
        <v/>
      </c>
      <c r="M24" s="2"/>
    </row>
    <row r="25" spans="3:13">
      <c r="C25" s="26"/>
      <c r="D25" s="2"/>
      <c r="E25" s="36" t="str">
        <f>IFERROR(VLOOKUP(F25,Produits[],2,FALSE),"")</f>
        <v/>
      </c>
      <c r="F25" s="74"/>
      <c r="G25" s="74"/>
      <c r="H25" s="74"/>
      <c r="I25" s="40" t="str">
        <f>IFERROR(VLOOKUP(F25,Produits[],3,FALSE),"")</f>
        <v/>
      </c>
      <c r="J25" s="72"/>
      <c r="K25" s="72"/>
      <c r="L25" s="39" t="str">
        <f t="shared" si="0"/>
        <v/>
      </c>
      <c r="M25" s="18"/>
    </row>
    <row r="26" spans="3:13">
      <c r="C26" s="26"/>
      <c r="D26" s="2"/>
      <c r="E26" s="12" t="str">
        <f>IFERROR(VLOOKUP(F26,Produits[],2,FALSE),"")</f>
        <v/>
      </c>
      <c r="F26" s="75"/>
      <c r="G26" s="75"/>
      <c r="H26" s="75"/>
      <c r="I26" s="41" t="str">
        <f>IFERROR(VLOOKUP(F26,Produits[],3,FALSE),"")</f>
        <v/>
      </c>
      <c r="J26" s="73"/>
      <c r="K26" s="73"/>
      <c r="L26" s="38" t="str">
        <f t="shared" si="0"/>
        <v/>
      </c>
      <c r="M26" s="2"/>
    </row>
    <row r="27" spans="3:13">
      <c r="C27" s="26"/>
      <c r="D27" s="2"/>
      <c r="E27" s="36" t="str">
        <f>IFERROR(VLOOKUP(F27,Produits[],2,FALSE),"")</f>
        <v/>
      </c>
      <c r="F27" s="74"/>
      <c r="G27" s="74"/>
      <c r="H27" s="74"/>
      <c r="I27" s="40" t="str">
        <f>IFERROR(VLOOKUP(F27,Produits[],3,FALSE),"")</f>
        <v/>
      </c>
      <c r="J27" s="72"/>
      <c r="K27" s="72"/>
      <c r="L27" s="39" t="str">
        <f t="shared" si="0"/>
        <v/>
      </c>
      <c r="M27" s="2"/>
    </row>
    <row r="28" spans="3:13">
      <c r="C28" s="26"/>
      <c r="D28" s="2"/>
      <c r="E28" s="12" t="str">
        <f>IFERROR(VLOOKUP(F28,Produits[],2,FALSE),"")</f>
        <v/>
      </c>
      <c r="F28" s="75"/>
      <c r="G28" s="75"/>
      <c r="H28" s="75"/>
      <c r="I28" s="41" t="str">
        <f>IFERROR(VLOOKUP(F28,Produits[],3,FALSE),"")</f>
        <v/>
      </c>
      <c r="J28" s="73"/>
      <c r="K28" s="73"/>
      <c r="L28" s="38" t="str">
        <f t="shared" si="0"/>
        <v/>
      </c>
      <c r="M28" s="2"/>
    </row>
    <row r="29" spans="3:13">
      <c r="C29" s="26"/>
      <c r="D29" s="2"/>
      <c r="E29" s="36" t="str">
        <f>IFERROR(VLOOKUP(F29,Produits[],2,FALSE),"")</f>
        <v/>
      </c>
      <c r="F29" s="74"/>
      <c r="G29" s="74"/>
      <c r="H29" s="74"/>
      <c r="I29" s="40" t="str">
        <f>IFERROR(VLOOKUP(F29,Produits[],3,FALSE),"")</f>
        <v/>
      </c>
      <c r="J29" s="72"/>
      <c r="K29" s="72"/>
      <c r="L29" s="39" t="str">
        <f t="shared" si="0"/>
        <v/>
      </c>
      <c r="M29" s="2"/>
    </row>
    <row r="30" spans="3:13">
      <c r="C30" s="26"/>
      <c r="D30" s="2"/>
      <c r="E30" s="12" t="str">
        <f>IFERROR(VLOOKUP(F30,Produits[],2,FALSE),"")</f>
        <v/>
      </c>
      <c r="F30" s="75"/>
      <c r="G30" s="75"/>
      <c r="H30" s="75"/>
      <c r="I30" s="41" t="str">
        <f>IFERROR(VLOOKUP(F30,Produits[],3,FALSE),"")</f>
        <v/>
      </c>
      <c r="J30" s="73"/>
      <c r="K30" s="73"/>
      <c r="L30" s="38" t="str">
        <f t="shared" si="0"/>
        <v/>
      </c>
      <c r="M30" s="2"/>
    </row>
    <row r="31" spans="3:13">
      <c r="C31" s="26"/>
      <c r="D31" s="2"/>
      <c r="E31" s="36" t="str">
        <f>IFERROR(VLOOKUP(F31,Produits[],2,FALSE),"")</f>
        <v/>
      </c>
      <c r="F31" s="74"/>
      <c r="G31" s="74"/>
      <c r="H31" s="74"/>
      <c r="I31" s="40" t="str">
        <f>IFERROR(VLOOKUP(F31,Produits[],3,FALSE),"")</f>
        <v/>
      </c>
      <c r="J31" s="72"/>
      <c r="K31" s="72"/>
      <c r="L31" s="39" t="str">
        <f t="shared" si="0"/>
        <v/>
      </c>
      <c r="M31" s="2"/>
    </row>
    <row r="32" spans="3:13">
      <c r="C32" s="26"/>
      <c r="D32" s="2"/>
      <c r="E32" s="37" t="str">
        <f>IFERROR(VLOOKUP(F32,Produits[],2,FALSE),"")</f>
        <v/>
      </c>
      <c r="F32" s="79"/>
      <c r="G32" s="79"/>
      <c r="H32" s="79"/>
      <c r="I32" s="42" t="str">
        <f>IFERROR(VLOOKUP(F32,Produits[],3,FALSE),"")</f>
        <v/>
      </c>
      <c r="J32" s="82"/>
      <c r="K32" s="82"/>
      <c r="L32" s="45" t="str">
        <f t="shared" si="0"/>
        <v/>
      </c>
      <c r="M32" s="2"/>
    </row>
    <row r="33" spans="3:13">
      <c r="C33" s="26"/>
      <c r="D33" s="2"/>
      <c r="E33" s="24"/>
      <c r="F33" s="13"/>
      <c r="G33" s="13"/>
      <c r="H33" s="24"/>
      <c r="I33" s="24"/>
      <c r="J33" s="13"/>
      <c r="K33" s="13"/>
      <c r="L33" s="13"/>
      <c r="M33" s="2"/>
    </row>
    <row r="34" spans="3:13">
      <c r="C34" s="26"/>
      <c r="D34" s="2"/>
      <c r="E34" s="3"/>
      <c r="F34" s="3"/>
      <c r="G34" s="20"/>
      <c r="H34" s="20" t="s">
        <v>126</v>
      </c>
      <c r="I34" s="80" t="s">
        <v>127</v>
      </c>
      <c r="J34" s="80"/>
      <c r="K34" s="14"/>
      <c r="L34" s="14">
        <f>IFERROR(SUM(L20:L32),"")</f>
        <v>0</v>
      </c>
      <c r="M34" s="2"/>
    </row>
    <row r="35" spans="3:13">
      <c r="C35" s="26"/>
      <c r="D35" s="2"/>
      <c r="E35" s="2"/>
      <c r="F35" s="2"/>
      <c r="G35" s="2"/>
      <c r="H35" s="21"/>
      <c r="I35" s="81" t="s">
        <v>128</v>
      </c>
      <c r="J35" s="81"/>
      <c r="K35" s="15"/>
      <c r="L35" s="43">
        <f>L34*20%</f>
        <v>0</v>
      </c>
      <c r="M35" s="2"/>
    </row>
    <row r="36" spans="3:13">
      <c r="C36" s="26"/>
      <c r="D36" s="2"/>
      <c r="E36" s="2"/>
      <c r="F36" s="2"/>
      <c r="G36" s="22"/>
      <c r="H36" s="22"/>
      <c r="I36" s="78" t="s">
        <v>129</v>
      </c>
      <c r="J36" s="78"/>
      <c r="K36" s="16"/>
      <c r="L36" s="16">
        <f>SUM(L34+L35)</f>
        <v>0</v>
      </c>
      <c r="M36" s="2"/>
    </row>
    <row r="37" spans="3:13">
      <c r="C37" s="26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3:13">
      <c r="C38" s="26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3:13">
      <c r="C39" s="26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3:13">
      <c r="C40" s="26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3:13">
      <c r="C41" s="26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3:13">
      <c r="C42" s="26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3:13">
      <c r="C43" s="26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3:13">
      <c r="C44" s="26"/>
      <c r="D44" s="2"/>
      <c r="E44" s="2"/>
      <c r="F44" s="19"/>
      <c r="G44" s="19"/>
      <c r="H44" s="19"/>
      <c r="I44" s="19"/>
      <c r="J44" s="19"/>
      <c r="K44" s="19"/>
      <c r="L44" s="19"/>
      <c r="M44" s="2"/>
    </row>
    <row r="45" spans="3:13">
      <c r="C45" s="26"/>
      <c r="D45" s="2"/>
      <c r="E45" s="27"/>
      <c r="F45" s="44"/>
      <c r="G45" s="44"/>
      <c r="H45" s="44" t="str">
        <f>CONCATENATE("Des questions ?")</f>
        <v>Des questions ?</v>
      </c>
      <c r="I45" s="2"/>
      <c r="J45" s="19"/>
      <c r="K45" s="19"/>
      <c r="L45" s="19"/>
      <c r="M45" s="19"/>
    </row>
    <row r="46" spans="3:13">
      <c r="C46" s="26"/>
      <c r="D46" s="2"/>
      <c r="E46" s="27"/>
      <c r="F46" s="44"/>
      <c r="G46" s="44"/>
      <c r="H46" s="44" t="str">
        <f>CONCATENATE("Envoyer-nous un e-mail à ",Parameters!E12)</f>
        <v>Envoyer-nous un e-mail à technomax@gmail.com</v>
      </c>
      <c r="I46" s="2"/>
      <c r="J46" s="19"/>
      <c r="K46" s="19"/>
      <c r="L46" s="19"/>
      <c r="M46" s="44"/>
    </row>
    <row r="47" spans="3:13">
      <c r="C47" s="26"/>
      <c r="D47" s="2"/>
      <c r="E47" s="27"/>
      <c r="F47" s="44"/>
      <c r="G47" s="44"/>
      <c r="H47" s="44" t="str">
        <f>CONCATENATE("Ou appelez-nous au ", Parameters!E11)</f>
        <v>Ou appelez-nous au 05 57 59 43 11</v>
      </c>
      <c r="I47" s="2"/>
      <c r="J47" s="19"/>
      <c r="K47" s="19"/>
      <c r="L47" s="19"/>
      <c r="M47" s="44"/>
    </row>
    <row r="48" spans="3:13">
      <c r="C48" s="26"/>
      <c r="D48" s="2"/>
      <c r="E48" s="27"/>
      <c r="F48" s="27"/>
      <c r="G48" s="27"/>
      <c r="H48" s="27"/>
      <c r="I48" s="27"/>
      <c r="J48" s="27"/>
      <c r="K48" s="27"/>
      <c r="L48" s="27"/>
      <c r="M48" s="2"/>
    </row>
    <row r="49" spans="3:13">
      <c r="C49" s="26"/>
      <c r="D49" s="2"/>
      <c r="E49" s="23"/>
      <c r="F49" s="23"/>
      <c r="G49" s="23"/>
      <c r="H49" s="23"/>
      <c r="I49" s="23"/>
      <c r="J49" s="23"/>
      <c r="K49" s="23"/>
      <c r="L49" s="2"/>
      <c r="M49" s="2"/>
    </row>
    <row r="50" spans="3:13">
      <c r="C50" s="26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3:13">
      <c r="C51" s="26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3:13">
      <c r="C52" s="26"/>
      <c r="D52" s="2"/>
      <c r="E52" s="70" t="str">
        <f>CONCATENATE(Parameters!E10,"    -    ",Parameters!E13)</f>
        <v>5001 av. Henry-Pasta 33200 Bordeaux    -    www.technomax.ca</v>
      </c>
      <c r="F52" s="70"/>
      <c r="G52" s="70"/>
      <c r="H52" s="70"/>
      <c r="I52" s="70"/>
      <c r="J52" s="70"/>
      <c r="K52" s="70"/>
      <c r="L52" s="70"/>
      <c r="M52" s="2"/>
    </row>
    <row r="53" spans="3:13">
      <c r="C53" s="26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3:13">
      <c r="C54" s="26"/>
      <c r="D54" s="2"/>
      <c r="E54" s="2"/>
      <c r="F54" s="2"/>
      <c r="G54" s="2"/>
      <c r="H54" s="2"/>
      <c r="I54" s="2"/>
      <c r="J54" s="2"/>
      <c r="K54" s="2"/>
      <c r="L54" s="2"/>
      <c r="M54" s="2"/>
    </row>
  </sheetData>
  <mergeCells count="38">
    <mergeCell ref="I36:J36"/>
    <mergeCell ref="E52:L52"/>
    <mergeCell ref="F31:H31"/>
    <mergeCell ref="J31:K31"/>
    <mergeCell ref="F32:H32"/>
    <mergeCell ref="J32:K32"/>
    <mergeCell ref="I34:J34"/>
    <mergeCell ref="I35:J35"/>
    <mergeCell ref="F28:H28"/>
    <mergeCell ref="J28:K28"/>
    <mergeCell ref="F29:H29"/>
    <mergeCell ref="J29:K29"/>
    <mergeCell ref="F30:H30"/>
    <mergeCell ref="J30:K30"/>
    <mergeCell ref="F25:H25"/>
    <mergeCell ref="J25:K25"/>
    <mergeCell ref="F26:H26"/>
    <mergeCell ref="J26:K26"/>
    <mergeCell ref="F27:H27"/>
    <mergeCell ref="J27:K27"/>
    <mergeCell ref="F22:H22"/>
    <mergeCell ref="J22:K22"/>
    <mergeCell ref="F23:H23"/>
    <mergeCell ref="J23:K23"/>
    <mergeCell ref="F24:H24"/>
    <mergeCell ref="J24:K24"/>
    <mergeCell ref="E15:G15"/>
    <mergeCell ref="I15:L15"/>
    <mergeCell ref="F20:H20"/>
    <mergeCell ref="J20:K20"/>
    <mergeCell ref="F21:H21"/>
    <mergeCell ref="J21:K21"/>
    <mergeCell ref="J8:L8"/>
    <mergeCell ref="J9:L9"/>
    <mergeCell ref="E13:G13"/>
    <mergeCell ref="I13:L13"/>
    <mergeCell ref="E14:G14"/>
    <mergeCell ref="I14:L14"/>
  </mergeCells>
  <dataValidations count="2">
    <dataValidation type="list" allowBlank="1" showInputMessage="1" showErrorMessage="1" sqref="I13:L13" xr:uid="{2D675B90-AEC5-4644-A3A4-F9DE1CE60FA5}">
      <formula1>INDIRECT("clients[nom]")</formula1>
    </dataValidation>
    <dataValidation type="list" allowBlank="1" showInputMessage="1" showErrorMessage="1" sqref="F20:H32" xr:uid="{37F4A8AC-5C06-410D-B820-7B5E4A5DD7CD}">
      <formula1>INDIRECT("Produits[désignation]")</formula1>
    </dataValidation>
  </dataValidations>
  <pageMargins left="0" right="0" top="0" bottom="0" header="0.3" footer="0.3"/>
  <pageSetup paperSize="9" scale="77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355CF-16ED-400D-8457-9819FBEC311A}">
  <sheetPr codeName="Feuil5">
    <pageSetUpPr fitToPage="1"/>
  </sheetPr>
  <dimension ref="A1:AB56"/>
  <sheetViews>
    <sheetView showGridLines="0" zoomScaleNormal="100" workbookViewId="0">
      <selection activeCell="I15" sqref="I15:L15"/>
    </sheetView>
  </sheetViews>
  <sheetFormatPr baseColWidth="10" defaultRowHeight="15"/>
  <cols>
    <col min="1" max="2" width="11.42578125" style="1"/>
    <col min="3" max="3" width="3.7109375" style="1" customWidth="1"/>
    <col min="4" max="4" width="5.5703125" style="1" customWidth="1"/>
    <col min="5" max="5" width="37.7109375" style="1" customWidth="1"/>
    <col min="6" max="6" width="2.42578125" style="1" customWidth="1"/>
    <col min="7" max="7" width="1.140625" style="1" hidden="1" customWidth="1"/>
    <col min="8" max="8" width="30.140625" style="1" customWidth="1"/>
    <col min="9" max="9" width="18.7109375" style="1" customWidth="1"/>
    <col min="10" max="10" width="11.5703125" style="1" customWidth="1"/>
    <col min="11" max="11" width="2.140625" style="1" customWidth="1"/>
    <col min="12" max="12" width="15.140625" style="1" customWidth="1"/>
    <col min="13" max="13" width="7.5703125" style="1" customWidth="1"/>
    <col min="14" max="14" width="8.85546875" style="1" customWidth="1"/>
    <col min="15" max="28" width="11.42578125" style="1"/>
  </cols>
  <sheetData>
    <row r="1" spans="1:28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</row>
    <row r="2" spans="1:28" ht="21">
      <c r="A2" s="2"/>
      <c r="B2" s="2"/>
      <c r="C2" s="2"/>
      <c r="D2" s="2"/>
      <c r="E2" s="25" t="str">
        <f>Parameters!E9</f>
        <v>TechnoMax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1:28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8" spans="1:28">
      <c r="C8" s="26"/>
      <c r="D8" s="2"/>
      <c r="E8" s="2"/>
      <c r="F8" s="2"/>
      <c r="G8" s="2"/>
      <c r="H8" s="2"/>
      <c r="I8" s="2"/>
      <c r="J8" s="2"/>
      <c r="K8" s="2"/>
      <c r="L8" s="2"/>
      <c r="M8" s="2"/>
    </row>
    <row r="9" spans="1:28">
      <c r="C9" s="26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28" ht="18">
      <c r="C10" s="26"/>
      <c r="D10" s="2"/>
      <c r="E10" s="2"/>
      <c r="F10" s="2"/>
      <c r="G10" s="2"/>
      <c r="H10" s="28"/>
      <c r="I10" s="30" t="s">
        <v>114</v>
      </c>
      <c r="J10" s="63">
        <f ca="1">TODAY()</f>
        <v>45193</v>
      </c>
      <c r="K10" s="63"/>
      <c r="L10" s="63"/>
      <c r="M10" s="2"/>
    </row>
    <row r="11" spans="1:28" ht="18">
      <c r="C11" s="26"/>
      <c r="D11" s="2"/>
      <c r="E11" s="2"/>
      <c r="F11" s="2"/>
      <c r="G11" s="2"/>
      <c r="H11" s="28"/>
      <c r="I11" s="30" t="s">
        <v>115</v>
      </c>
      <c r="J11" s="64" t="s">
        <v>137</v>
      </c>
      <c r="K11" s="65"/>
      <c r="L11" s="65"/>
      <c r="M11" s="2"/>
    </row>
    <row r="12" spans="1:28" ht="16.5">
      <c r="C12" s="26"/>
      <c r="D12" s="2"/>
      <c r="E12" s="2"/>
      <c r="F12" s="2"/>
      <c r="G12" s="2"/>
      <c r="H12" s="2"/>
      <c r="I12" s="4"/>
      <c r="J12" s="19"/>
      <c r="K12" s="19"/>
      <c r="L12" s="19"/>
      <c r="M12" s="2"/>
    </row>
    <row r="13" spans="1:28">
      <c r="C13" s="26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28">
      <c r="C14" s="26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28" ht="21">
      <c r="C15" s="26"/>
      <c r="D15" s="2"/>
      <c r="E15" s="66" t="str">
        <f>Parameters!E9</f>
        <v>TechnoMax</v>
      </c>
      <c r="F15" s="66"/>
      <c r="G15" s="66"/>
      <c r="H15" s="2"/>
      <c r="I15" s="68"/>
      <c r="J15" s="68"/>
      <c r="K15" s="68"/>
      <c r="L15" s="68"/>
      <c r="M15" s="2"/>
    </row>
    <row r="16" spans="1:28" ht="16.5">
      <c r="C16" s="26"/>
      <c r="D16" s="2"/>
      <c r="E16" s="67" t="str">
        <f>Parameters!E10</f>
        <v>5001 av. Henry-Pasta 33200 Bordeaux</v>
      </c>
      <c r="F16" s="67"/>
      <c r="G16" s="67"/>
      <c r="H16" s="18"/>
      <c r="I16" s="69" t="str">
        <f>IFERROR(VLOOKUP(I15,Clients[],2,FALSE),"")</f>
        <v/>
      </c>
      <c r="J16" s="69"/>
      <c r="K16" s="69"/>
      <c r="L16" s="69"/>
      <c r="M16" s="2"/>
    </row>
    <row r="17" spans="3:13" ht="16.5">
      <c r="C17" s="26"/>
      <c r="D17" s="2"/>
      <c r="E17" s="67" t="str">
        <f>Parameters!E11</f>
        <v>05 57 59 43 11</v>
      </c>
      <c r="F17" s="67"/>
      <c r="G17" s="67"/>
      <c r="H17" s="2"/>
      <c r="I17" s="69" t="str">
        <f>IFERROR(VLOOKUP(I15,Clients[],3,FALSE),"")</f>
        <v/>
      </c>
      <c r="J17" s="69"/>
      <c r="K17" s="69"/>
      <c r="L17" s="69"/>
      <c r="M17" s="2"/>
    </row>
    <row r="18" spans="3:13">
      <c r="C18" s="26"/>
      <c r="D18" s="2"/>
      <c r="E18" s="18"/>
      <c r="F18" s="18"/>
      <c r="G18" s="2"/>
      <c r="H18" s="2"/>
      <c r="I18" s="18"/>
      <c r="J18" s="18"/>
      <c r="K18" s="2"/>
      <c r="L18" s="2"/>
      <c r="M18" s="2"/>
    </row>
    <row r="19" spans="3:13">
      <c r="C19" s="26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3:13">
      <c r="C20" s="26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3:13" ht="16.5">
      <c r="C21" s="26"/>
      <c r="D21" s="2"/>
      <c r="E21" s="33" t="s">
        <v>3</v>
      </c>
      <c r="F21" s="26"/>
      <c r="G21" s="34"/>
      <c r="H21" s="33" t="s">
        <v>2</v>
      </c>
      <c r="I21" s="33" t="s">
        <v>1</v>
      </c>
      <c r="J21" s="33" t="s">
        <v>124</v>
      </c>
      <c r="K21" s="33"/>
      <c r="L21" s="33" t="s">
        <v>125</v>
      </c>
      <c r="M21" s="2"/>
    </row>
    <row r="22" spans="3:13">
      <c r="C22" s="26"/>
      <c r="D22" s="2"/>
      <c r="E22" s="17" t="str">
        <f>IFERROR(VLOOKUP(F22,Produits[],2,FALSE),"")</f>
        <v/>
      </c>
      <c r="F22" s="76"/>
      <c r="G22" s="76"/>
      <c r="H22" s="76"/>
      <c r="I22" s="38" t="str">
        <f>IFERROR(VLOOKUP(F22,Produits[],3,FALSE),"")</f>
        <v/>
      </c>
      <c r="J22" s="70"/>
      <c r="K22" s="70"/>
      <c r="L22" s="38" t="str">
        <f>IFERROR(I22*J22,"")</f>
        <v/>
      </c>
      <c r="M22" s="2"/>
    </row>
    <row r="23" spans="3:13">
      <c r="C23" s="26"/>
      <c r="D23" s="2"/>
      <c r="E23" s="35" t="str">
        <f>IFERROR(VLOOKUP(F23,Produits[],2,FALSE),"")</f>
        <v/>
      </c>
      <c r="F23" s="77"/>
      <c r="G23" s="77"/>
      <c r="H23" s="77"/>
      <c r="I23" s="39" t="str">
        <f>IFERROR(VLOOKUP(F23,Produits[],3,FALSE),"")</f>
        <v/>
      </c>
      <c r="J23" s="71"/>
      <c r="K23" s="71"/>
      <c r="L23" s="39" t="str">
        <f t="shared" ref="L23:L34" si="0">IFERROR(I23*J23,"")</f>
        <v/>
      </c>
      <c r="M23" s="2"/>
    </row>
    <row r="24" spans="3:13">
      <c r="C24" s="26"/>
      <c r="D24" s="2"/>
      <c r="E24" s="17" t="str">
        <f>IFERROR(VLOOKUP(F24,Produits[],2,FALSE),"")</f>
        <v/>
      </c>
      <c r="F24" s="76"/>
      <c r="G24" s="76"/>
      <c r="H24" s="76"/>
      <c r="I24" s="38" t="str">
        <f>IFERROR(VLOOKUP(F24,Produits[],3,FALSE),"")</f>
        <v/>
      </c>
      <c r="J24" s="70"/>
      <c r="K24" s="70"/>
      <c r="L24" s="38" t="str">
        <f t="shared" si="0"/>
        <v/>
      </c>
      <c r="M24" s="2"/>
    </row>
    <row r="25" spans="3:13">
      <c r="C25" s="26"/>
      <c r="D25" s="2"/>
      <c r="E25" s="36" t="str">
        <f>IFERROR(VLOOKUP(F25,Produits[],2,FALSE),"")</f>
        <v/>
      </c>
      <c r="F25" s="74"/>
      <c r="G25" s="74"/>
      <c r="H25" s="74"/>
      <c r="I25" s="40" t="str">
        <f>IFERROR(VLOOKUP(F25,Produits[],3,FALSE),"")</f>
        <v/>
      </c>
      <c r="J25" s="72"/>
      <c r="K25" s="72"/>
      <c r="L25" s="39" t="str">
        <f t="shared" si="0"/>
        <v/>
      </c>
      <c r="M25" s="2"/>
    </row>
    <row r="26" spans="3:13">
      <c r="C26" s="26"/>
      <c r="D26" s="2"/>
      <c r="E26" s="12" t="str">
        <f>IFERROR(VLOOKUP(F26,Produits[],2,FALSE),"")</f>
        <v/>
      </c>
      <c r="F26" s="75"/>
      <c r="G26" s="75"/>
      <c r="H26" s="75"/>
      <c r="I26" s="41" t="str">
        <f>IFERROR(VLOOKUP(F26,Produits[],3,FALSE),"")</f>
        <v/>
      </c>
      <c r="J26" s="73"/>
      <c r="K26" s="73"/>
      <c r="L26" s="38" t="str">
        <f t="shared" si="0"/>
        <v/>
      </c>
      <c r="M26" s="2"/>
    </row>
    <row r="27" spans="3:13">
      <c r="C27" s="26"/>
      <c r="D27" s="2"/>
      <c r="E27" s="36" t="str">
        <f>IFERROR(VLOOKUP(F27,Produits[],2,FALSE),"")</f>
        <v/>
      </c>
      <c r="F27" s="74"/>
      <c r="G27" s="74"/>
      <c r="H27" s="74"/>
      <c r="I27" s="40" t="str">
        <f>IFERROR(VLOOKUP(F27,Produits[],3,FALSE),"")</f>
        <v/>
      </c>
      <c r="J27" s="72"/>
      <c r="K27" s="72"/>
      <c r="L27" s="39" t="str">
        <f t="shared" si="0"/>
        <v/>
      </c>
      <c r="M27" s="18"/>
    </row>
    <row r="28" spans="3:13">
      <c r="C28" s="26"/>
      <c r="D28" s="2"/>
      <c r="E28" s="12" t="str">
        <f>IFERROR(VLOOKUP(F28,Produits[],2,FALSE),"")</f>
        <v/>
      </c>
      <c r="F28" s="75"/>
      <c r="G28" s="75"/>
      <c r="H28" s="75"/>
      <c r="I28" s="41" t="str">
        <f>IFERROR(VLOOKUP(F28,Produits[],3,FALSE),"")</f>
        <v/>
      </c>
      <c r="J28" s="73"/>
      <c r="K28" s="73"/>
      <c r="L28" s="38" t="str">
        <f t="shared" si="0"/>
        <v/>
      </c>
      <c r="M28" s="2"/>
    </row>
    <row r="29" spans="3:13">
      <c r="C29" s="26"/>
      <c r="D29" s="2"/>
      <c r="E29" s="36" t="str">
        <f>IFERROR(VLOOKUP(F29,Produits[],2,FALSE),"")</f>
        <v/>
      </c>
      <c r="F29" s="74"/>
      <c r="G29" s="74"/>
      <c r="H29" s="74"/>
      <c r="I29" s="40" t="str">
        <f>IFERROR(VLOOKUP(F29,Produits[],3,FALSE),"")</f>
        <v/>
      </c>
      <c r="J29" s="72"/>
      <c r="K29" s="72"/>
      <c r="L29" s="39" t="str">
        <f t="shared" si="0"/>
        <v/>
      </c>
      <c r="M29" s="2"/>
    </row>
    <row r="30" spans="3:13">
      <c r="C30" s="26"/>
      <c r="D30" s="2"/>
      <c r="E30" s="12" t="str">
        <f>IFERROR(VLOOKUP(F30,Produits[],2,FALSE),"")</f>
        <v/>
      </c>
      <c r="F30" s="75"/>
      <c r="G30" s="75"/>
      <c r="H30" s="75"/>
      <c r="I30" s="41" t="str">
        <f>IFERROR(VLOOKUP(F30,Produits[],3,FALSE),"")</f>
        <v/>
      </c>
      <c r="J30" s="73"/>
      <c r="K30" s="73"/>
      <c r="L30" s="38" t="str">
        <f t="shared" si="0"/>
        <v/>
      </c>
      <c r="M30" s="2"/>
    </row>
    <row r="31" spans="3:13">
      <c r="C31" s="26"/>
      <c r="D31" s="2"/>
      <c r="E31" s="36" t="str">
        <f>IFERROR(VLOOKUP(F31,Produits[],2,FALSE),"")</f>
        <v/>
      </c>
      <c r="F31" s="74"/>
      <c r="G31" s="74"/>
      <c r="H31" s="74"/>
      <c r="I31" s="40" t="str">
        <f>IFERROR(VLOOKUP(F31,Produits[],3,FALSE),"")</f>
        <v/>
      </c>
      <c r="J31" s="72"/>
      <c r="K31" s="72"/>
      <c r="L31" s="39" t="str">
        <f t="shared" si="0"/>
        <v/>
      </c>
      <c r="M31" s="2"/>
    </row>
    <row r="32" spans="3:13">
      <c r="C32" s="26"/>
      <c r="D32" s="2"/>
      <c r="E32" s="12" t="str">
        <f>IFERROR(VLOOKUP(F32,Produits[],2,FALSE),"")</f>
        <v/>
      </c>
      <c r="F32" s="75"/>
      <c r="G32" s="75"/>
      <c r="H32" s="75"/>
      <c r="I32" s="41" t="str">
        <f>IFERROR(VLOOKUP(F32,Produits[],3,FALSE),"")</f>
        <v/>
      </c>
      <c r="J32" s="73"/>
      <c r="K32" s="73"/>
      <c r="L32" s="38" t="str">
        <f t="shared" si="0"/>
        <v/>
      </c>
      <c r="M32" s="2"/>
    </row>
    <row r="33" spans="3:13">
      <c r="C33" s="26"/>
      <c r="D33" s="2"/>
      <c r="E33" s="36" t="str">
        <f>IFERROR(VLOOKUP(F33,Produits[],2,FALSE),"")</f>
        <v/>
      </c>
      <c r="F33" s="74"/>
      <c r="G33" s="74"/>
      <c r="H33" s="74"/>
      <c r="I33" s="40" t="str">
        <f>IFERROR(VLOOKUP(F33,Produits[],3,FALSE),"")</f>
        <v/>
      </c>
      <c r="J33" s="72"/>
      <c r="K33" s="72"/>
      <c r="L33" s="39" t="str">
        <f t="shared" si="0"/>
        <v/>
      </c>
      <c r="M33" s="2"/>
    </row>
    <row r="34" spans="3:13">
      <c r="C34" s="26"/>
      <c r="D34" s="2"/>
      <c r="E34" s="37" t="str">
        <f>IFERROR(VLOOKUP(F34,Produits[],2,FALSE),"")</f>
        <v/>
      </c>
      <c r="F34" s="79"/>
      <c r="G34" s="79"/>
      <c r="H34" s="79"/>
      <c r="I34" s="42" t="str">
        <f>IFERROR(VLOOKUP(F34,Produits[],3,FALSE),"")</f>
        <v/>
      </c>
      <c r="J34" s="82"/>
      <c r="K34" s="82"/>
      <c r="L34" s="45" t="str">
        <f t="shared" si="0"/>
        <v/>
      </c>
      <c r="M34" s="2"/>
    </row>
    <row r="35" spans="3:13">
      <c r="C35" s="26"/>
      <c r="D35" s="2"/>
      <c r="E35" s="24"/>
      <c r="F35" s="13"/>
      <c r="G35" s="13"/>
      <c r="H35" s="24"/>
      <c r="I35" s="24"/>
      <c r="J35" s="13"/>
      <c r="K35" s="13"/>
      <c r="L35" s="13"/>
      <c r="M35" s="2"/>
    </row>
    <row r="36" spans="3:13">
      <c r="C36" s="26"/>
      <c r="D36" s="2"/>
      <c r="E36" s="3"/>
      <c r="F36" s="3"/>
      <c r="G36" s="20"/>
      <c r="H36" s="20" t="s">
        <v>126</v>
      </c>
      <c r="I36" s="80" t="s">
        <v>127</v>
      </c>
      <c r="J36" s="80"/>
      <c r="K36" s="14"/>
      <c r="L36" s="14">
        <f>IFERROR(SUM(L22:L34),"")</f>
        <v>0</v>
      </c>
      <c r="M36" s="2"/>
    </row>
    <row r="37" spans="3:13">
      <c r="C37" s="26"/>
      <c r="D37" s="2"/>
      <c r="E37" s="2"/>
      <c r="F37" s="2"/>
      <c r="G37" s="2"/>
      <c r="H37" s="21"/>
      <c r="I37" s="81" t="s">
        <v>128</v>
      </c>
      <c r="J37" s="81"/>
      <c r="K37" s="15"/>
      <c r="L37" s="43">
        <f>L36*20%</f>
        <v>0</v>
      </c>
      <c r="M37" s="2"/>
    </row>
    <row r="38" spans="3:13">
      <c r="C38" s="26"/>
      <c r="D38" s="2"/>
      <c r="E38" s="2"/>
      <c r="F38" s="2"/>
      <c r="G38" s="22"/>
      <c r="H38" s="22"/>
      <c r="I38" s="78" t="s">
        <v>129</v>
      </c>
      <c r="J38" s="78"/>
      <c r="K38" s="16"/>
      <c r="L38" s="16">
        <f>SUM(L36+L37)</f>
        <v>0</v>
      </c>
      <c r="M38" s="2"/>
    </row>
    <row r="39" spans="3:13">
      <c r="C39" s="26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3:13">
      <c r="C40" s="26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3:13">
      <c r="C41" s="26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3:13">
      <c r="C42" s="26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3:13">
      <c r="C43" s="26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3:13">
      <c r="C44" s="26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3:13">
      <c r="C45" s="26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3:13">
      <c r="C46" s="26"/>
      <c r="D46" s="2"/>
      <c r="E46" s="2"/>
      <c r="F46" s="19"/>
      <c r="G46" s="19"/>
      <c r="H46" s="19"/>
      <c r="I46" s="19"/>
      <c r="J46" s="19"/>
      <c r="K46" s="19"/>
      <c r="L46" s="19"/>
      <c r="M46" s="2"/>
    </row>
    <row r="47" spans="3:13">
      <c r="C47" s="26"/>
      <c r="D47" s="2"/>
      <c r="E47" s="27"/>
      <c r="F47" s="44"/>
      <c r="G47" s="44"/>
      <c r="H47" s="44" t="str">
        <f>CONCATENATE("Des questions ?")</f>
        <v>Des questions ?</v>
      </c>
      <c r="I47" s="2"/>
      <c r="J47" s="19"/>
      <c r="K47" s="19"/>
      <c r="L47" s="19"/>
      <c r="M47" s="19"/>
    </row>
    <row r="48" spans="3:13">
      <c r="C48" s="26"/>
      <c r="D48" s="2"/>
      <c r="E48" s="27"/>
      <c r="F48" s="44"/>
      <c r="G48" s="44"/>
      <c r="H48" s="44" t="str">
        <f>CONCATENATE("Envoyer-nous un e-mail à ",Parameters!E12)</f>
        <v>Envoyer-nous un e-mail à technomax@gmail.com</v>
      </c>
      <c r="I48" s="2"/>
      <c r="J48" s="19"/>
      <c r="K48" s="19"/>
      <c r="L48" s="19"/>
      <c r="M48" s="44"/>
    </row>
    <row r="49" spans="3:13">
      <c r="C49" s="26"/>
      <c r="D49" s="2"/>
      <c r="E49" s="27"/>
      <c r="F49" s="44"/>
      <c r="G49" s="44"/>
      <c r="H49" s="44" t="str">
        <f>CONCATENATE("Ou appelez-nous au ", Parameters!E11)</f>
        <v>Ou appelez-nous au 05 57 59 43 11</v>
      </c>
      <c r="I49" s="2"/>
      <c r="J49" s="19"/>
      <c r="K49" s="19"/>
      <c r="L49" s="19"/>
      <c r="M49" s="44"/>
    </row>
    <row r="50" spans="3:13">
      <c r="C50" s="26"/>
      <c r="D50" s="2"/>
      <c r="E50" s="27"/>
      <c r="F50" s="27"/>
      <c r="G50" s="27"/>
      <c r="H50" s="27"/>
      <c r="I50" s="27"/>
      <c r="J50" s="27"/>
      <c r="K50" s="27"/>
      <c r="L50" s="27"/>
      <c r="M50" s="2"/>
    </row>
    <row r="51" spans="3:13">
      <c r="C51" s="26"/>
      <c r="D51" s="2"/>
      <c r="E51" s="23"/>
      <c r="F51" s="23"/>
      <c r="G51" s="23"/>
      <c r="H51" s="23"/>
      <c r="I51" s="23"/>
      <c r="J51" s="23"/>
      <c r="K51" s="23"/>
      <c r="L51" s="2"/>
      <c r="M51" s="2"/>
    </row>
    <row r="52" spans="3:13">
      <c r="C52" s="26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3:13">
      <c r="C53" s="26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3:13">
      <c r="C54" s="26"/>
      <c r="D54" s="2"/>
      <c r="E54" s="70" t="str">
        <f>CONCATENATE(Parameters!E10,"    -    ",Parameters!E13)</f>
        <v>5001 av. Henry-Pasta 33200 Bordeaux    -    www.technomax.ca</v>
      </c>
      <c r="F54" s="70"/>
      <c r="G54" s="70"/>
      <c r="H54" s="70"/>
      <c r="I54" s="70"/>
      <c r="J54" s="70"/>
      <c r="K54" s="70"/>
      <c r="L54" s="70"/>
      <c r="M54" s="2"/>
    </row>
    <row r="55" spans="3:13">
      <c r="C55" s="26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3:13">
      <c r="C56" s="26"/>
      <c r="D56" s="2"/>
      <c r="E56" s="2"/>
      <c r="F56" s="2"/>
      <c r="G56" s="2"/>
      <c r="H56" s="2"/>
      <c r="I56" s="2"/>
      <c r="J56" s="2"/>
      <c r="K56" s="2"/>
      <c r="L56" s="2"/>
      <c r="M56" s="2"/>
    </row>
  </sheetData>
  <mergeCells count="38">
    <mergeCell ref="I38:J38"/>
    <mergeCell ref="E54:L54"/>
    <mergeCell ref="F33:H33"/>
    <mergeCell ref="J33:K33"/>
    <mergeCell ref="F34:H34"/>
    <mergeCell ref="J34:K34"/>
    <mergeCell ref="I36:J36"/>
    <mergeCell ref="I37:J37"/>
    <mergeCell ref="F30:H30"/>
    <mergeCell ref="J30:K30"/>
    <mergeCell ref="F31:H31"/>
    <mergeCell ref="J31:K31"/>
    <mergeCell ref="F32:H32"/>
    <mergeCell ref="J32:K32"/>
    <mergeCell ref="F27:H27"/>
    <mergeCell ref="J27:K27"/>
    <mergeCell ref="F28:H28"/>
    <mergeCell ref="J28:K28"/>
    <mergeCell ref="F29:H29"/>
    <mergeCell ref="J29:K29"/>
    <mergeCell ref="F24:H24"/>
    <mergeCell ref="J24:K24"/>
    <mergeCell ref="F25:H25"/>
    <mergeCell ref="J25:K25"/>
    <mergeCell ref="F26:H26"/>
    <mergeCell ref="J26:K26"/>
    <mergeCell ref="E17:G17"/>
    <mergeCell ref="I17:L17"/>
    <mergeCell ref="F22:H22"/>
    <mergeCell ref="J22:K22"/>
    <mergeCell ref="F23:H23"/>
    <mergeCell ref="J23:K23"/>
    <mergeCell ref="J10:L10"/>
    <mergeCell ref="J11:L11"/>
    <mergeCell ref="E15:G15"/>
    <mergeCell ref="I15:L15"/>
    <mergeCell ref="E16:G16"/>
    <mergeCell ref="I16:L16"/>
  </mergeCells>
  <dataValidations count="2">
    <dataValidation type="list" allowBlank="1" showInputMessage="1" showErrorMessage="1" sqref="F22:H34" xr:uid="{8B86E3B2-D720-446E-BDF3-CAEE47B5AB13}">
      <formula1>INDIRECT("Produits[désignation]")</formula1>
    </dataValidation>
    <dataValidation type="list" allowBlank="1" showInputMessage="1" showErrorMessage="1" sqref="I15:L15" xr:uid="{52EA9A13-5BD0-45DB-8C0B-93434D322E23}">
      <formula1>INDIRECT("clients[nom]")</formula1>
    </dataValidation>
  </dataValidations>
  <pageMargins left="0" right="0" top="0" bottom="0" header="0.3" footer="0.3"/>
  <pageSetup paperSize="9" scale="75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C5E41-CA02-4B5B-A25E-7F66D18E8FBD}">
  <sheetPr codeName="Feuil6"/>
  <dimension ref="A1:AA18"/>
  <sheetViews>
    <sheetView workbookViewId="0">
      <selection activeCell="I2" sqref="I2"/>
    </sheetView>
  </sheetViews>
  <sheetFormatPr baseColWidth="10" defaultRowHeight="15"/>
  <cols>
    <col min="1" max="2" width="11.42578125" style="1"/>
    <col min="3" max="4" width="5.7109375" style="1" customWidth="1"/>
    <col min="5" max="5" width="20.28515625" style="1" customWidth="1"/>
    <col min="6" max="6" width="18.42578125" style="1" customWidth="1"/>
    <col min="7" max="7" width="33.85546875" style="1" customWidth="1"/>
    <col min="8" max="8" width="21.140625" style="1" customWidth="1"/>
    <col min="9" max="9" width="26.5703125" style="1" customWidth="1"/>
    <col min="10" max="10" width="27.5703125" style="1" customWidth="1"/>
    <col min="11" max="11" width="18.7109375" style="1" customWidth="1"/>
    <col min="12" max="13" width="5.7109375" style="1" customWidth="1"/>
    <col min="14" max="14" width="8.85546875" style="1" customWidth="1"/>
    <col min="15" max="15" width="94.85546875" style="1" customWidth="1"/>
    <col min="16" max="27" width="11.42578125" style="1"/>
  </cols>
  <sheetData>
    <row r="1" spans="1:27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21">
      <c r="A2" s="2"/>
      <c r="B2" s="2"/>
      <c r="C2" s="2"/>
      <c r="D2" s="2"/>
      <c r="E2" s="25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7" spans="1:27">
      <c r="C7" s="2"/>
      <c r="D7" s="2"/>
      <c r="E7" s="2"/>
      <c r="F7" s="2"/>
      <c r="G7" s="2"/>
      <c r="H7" s="2"/>
      <c r="I7" s="2"/>
      <c r="J7" s="2"/>
      <c r="K7" s="2"/>
      <c r="L7" s="2"/>
      <c r="M7" s="2"/>
      <c r="O7" s="2"/>
    </row>
    <row r="8" spans="1:27">
      <c r="C8" s="2"/>
      <c r="D8" s="2"/>
      <c r="E8" s="2"/>
      <c r="F8" s="2"/>
      <c r="G8" s="2"/>
      <c r="H8" s="2"/>
      <c r="I8" s="2"/>
      <c r="J8" s="2"/>
      <c r="K8" s="2"/>
      <c r="L8" s="2"/>
      <c r="M8" s="2"/>
      <c r="O8" s="2"/>
    </row>
    <row r="9" spans="1:27" ht="16.5">
      <c r="C9" s="2"/>
      <c r="D9" s="2"/>
      <c r="E9" s="46" t="s">
        <v>141</v>
      </c>
      <c r="F9" s="46" t="s">
        <v>142</v>
      </c>
      <c r="G9" s="46" t="s">
        <v>143</v>
      </c>
      <c r="H9" s="46" t="s">
        <v>144</v>
      </c>
      <c r="I9" s="46" t="s">
        <v>145</v>
      </c>
      <c r="J9" s="46" t="s">
        <v>146</v>
      </c>
      <c r="K9" s="46" t="s">
        <v>147</v>
      </c>
      <c r="L9" s="2"/>
      <c r="M9" s="2"/>
      <c r="O9" s="51" t="s">
        <v>18</v>
      </c>
    </row>
    <row r="10" spans="1:27" ht="15.75">
      <c r="C10" s="2"/>
      <c r="D10" s="2"/>
      <c r="E10" s="52" t="s">
        <v>140</v>
      </c>
      <c r="F10" s="53">
        <v>45193</v>
      </c>
      <c r="G10" s="52" t="s">
        <v>0</v>
      </c>
      <c r="H10" s="56">
        <v>1437.6</v>
      </c>
      <c r="I10" s="49" t="s">
        <v>148</v>
      </c>
      <c r="J10" s="53" t="s">
        <v>151</v>
      </c>
      <c r="K10" s="54" t="s">
        <v>149</v>
      </c>
      <c r="L10" s="2"/>
      <c r="M10" s="2"/>
      <c r="O10" s="51" t="s">
        <v>150</v>
      </c>
    </row>
    <row r="11" spans="1:27" ht="15.75">
      <c r="C11" s="2"/>
      <c r="D11" s="2"/>
      <c r="E11" s="52"/>
      <c r="F11" s="53"/>
      <c r="G11" s="52"/>
      <c r="H11" s="55"/>
      <c r="I11" s="49"/>
      <c r="J11" s="53"/>
      <c r="K11" s="54"/>
      <c r="L11" s="2"/>
      <c r="M11" s="2"/>
      <c r="O11" s="51"/>
    </row>
    <row r="12" spans="1:27" ht="15.75">
      <c r="C12" s="2"/>
      <c r="D12" s="2"/>
      <c r="E12" s="47"/>
      <c r="F12" s="48"/>
      <c r="G12" s="47"/>
      <c r="H12" s="49"/>
      <c r="I12" s="49"/>
      <c r="J12" s="53"/>
      <c r="K12" s="54"/>
      <c r="L12" s="2"/>
      <c r="M12" s="2"/>
      <c r="O12" s="51"/>
    </row>
    <row r="13" spans="1:27" ht="15.75">
      <c r="C13" s="2"/>
      <c r="D13" s="2"/>
      <c r="E13" s="52"/>
      <c r="F13" s="53"/>
      <c r="G13" s="52"/>
      <c r="H13" s="49"/>
      <c r="I13" s="49"/>
      <c r="J13" s="53"/>
      <c r="K13" s="54"/>
      <c r="L13" s="2"/>
      <c r="M13" s="2"/>
      <c r="O13" s="51"/>
    </row>
    <row r="14" spans="1:27" ht="15.75">
      <c r="C14" s="2"/>
      <c r="D14" s="2"/>
      <c r="E14" s="52"/>
      <c r="F14" s="53"/>
      <c r="G14" s="52"/>
      <c r="H14" s="49"/>
      <c r="I14" s="49"/>
      <c r="J14" s="53"/>
      <c r="K14" s="54"/>
      <c r="L14" s="2"/>
      <c r="M14" s="2"/>
      <c r="O14" s="51"/>
    </row>
    <row r="15" spans="1:27" ht="18" customHeight="1">
      <c r="C15" s="2"/>
      <c r="D15" s="2"/>
      <c r="E15" s="52"/>
      <c r="F15" s="53"/>
      <c r="G15" s="52"/>
      <c r="H15" s="49"/>
      <c r="I15" s="49"/>
      <c r="J15" s="53"/>
      <c r="K15" s="48"/>
      <c r="L15" s="29"/>
      <c r="M15" s="2"/>
      <c r="O15" s="50"/>
    </row>
    <row r="16" spans="1:27" ht="18" customHeight="1">
      <c r="C16" s="2"/>
      <c r="D16" s="2"/>
      <c r="E16" s="52"/>
      <c r="F16" s="53"/>
      <c r="G16" s="52"/>
      <c r="H16" s="49"/>
      <c r="I16" s="49"/>
      <c r="J16" s="53"/>
      <c r="K16" s="48"/>
      <c r="L16" s="29"/>
      <c r="M16" s="2"/>
      <c r="O16" s="50"/>
    </row>
    <row r="17" spans="3:15" ht="18">
      <c r="C17" s="2"/>
      <c r="D17" s="2"/>
      <c r="E17" s="2"/>
      <c r="F17" s="2"/>
      <c r="G17" s="2"/>
      <c r="H17" s="28"/>
      <c r="I17" s="30"/>
      <c r="J17" s="64"/>
      <c r="K17" s="65"/>
      <c r="L17" s="31"/>
      <c r="M17" s="2"/>
      <c r="O17" s="2"/>
    </row>
    <row r="18" spans="3:15" ht="16.5">
      <c r="C18" s="2"/>
      <c r="D18" s="2"/>
      <c r="E18" s="2"/>
      <c r="F18" s="2"/>
      <c r="G18" s="2"/>
      <c r="H18" s="2"/>
      <c r="I18" s="4"/>
      <c r="J18" s="19"/>
      <c r="K18" s="19"/>
      <c r="L18" s="19"/>
      <c r="M18" s="2"/>
      <c r="O18" s="2"/>
    </row>
  </sheetData>
  <mergeCells count="1">
    <mergeCell ref="J17:K17"/>
  </mergeCells>
  <conditionalFormatting sqref="I10:I16">
    <cfRule type="containsText" dxfId="9" priority="1" operator="containsText" text="Impayée">
      <formula>NOT(ISERROR(SEARCH("Impayée",I10)))</formula>
    </cfRule>
  </conditionalFormatting>
  <dataValidations count="2">
    <dataValidation type="list" allowBlank="1" showInputMessage="1" showErrorMessage="1" prompt="Choississez un mode de paiement" sqref="J10:J16" xr:uid="{68D8FC66-8DD4-4707-B94B-7AFD4C8FA752}">
      <formula1>"Virement,Chèque,Comptant,Carte bancaire "</formula1>
    </dataValidation>
    <dataValidation type="list" allowBlank="1" showInputMessage="1" showErrorMessage="1" prompt="Veuillez renseigner l'état de paiement de la facture" sqref="I10:I16" xr:uid="{0B590338-A9AD-48D5-8D61-50F86516FE7B}">
      <formula1>"Payée,Impayée"</formula1>
    </dataValidation>
  </dataValidations>
  <hyperlinks>
    <hyperlink ref="K10" r:id="rId1" xr:uid="{D9EBF0EF-D62E-4ED0-A919-DCB861489B54}"/>
  </hyperlinks>
  <pageMargins left="0.7" right="0.7" top="0.75" bottom="0.75" header="0.3" footer="0.3"/>
  <pageSetup paperSize="9" orientation="portrait" horizontalDpi="300" verticalDpi="300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4</vt:i4>
      </vt:variant>
    </vt:vector>
  </HeadingPairs>
  <TitlesOfParts>
    <vt:vector size="10" baseType="lpstr">
      <vt:lpstr>Parameters</vt:lpstr>
      <vt:lpstr>Devis</vt:lpstr>
      <vt:lpstr>Commande</vt:lpstr>
      <vt:lpstr>Livraison</vt:lpstr>
      <vt:lpstr>Facture</vt:lpstr>
      <vt:lpstr>Liste Factures</vt:lpstr>
      <vt:lpstr>Commande!Zone_d_impression</vt:lpstr>
      <vt:lpstr>Devis!Zone_d_impression</vt:lpstr>
      <vt:lpstr>Facture!Zone_d_impression</vt:lpstr>
      <vt:lpstr>Livraison!Zone_d_impression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Hassan Bahi</dc:creator>
  <cp:lastModifiedBy>Camille Dose</cp:lastModifiedBy>
  <cp:lastPrinted>2023-09-24T23:32:27Z</cp:lastPrinted>
  <dcterms:created xsi:type="dcterms:W3CDTF">2015-06-05T18:19:34Z</dcterms:created>
  <dcterms:modified xsi:type="dcterms:W3CDTF">2023-09-25T02:31:12Z</dcterms:modified>
</cp:coreProperties>
</file>